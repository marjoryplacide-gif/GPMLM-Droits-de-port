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name="Déclaration" sheetId="1" state="visible" r:id="rId1"/>
    <sheet name="Caractéristique navire de pêche" sheetId="2" state="visible" r:id="rId2"/>
    <sheet name="adresse" sheetId="3" state="visible" r:id="rId3"/>
  </sheets>
  <externalReferences>
    <externalReference r:id="rId4"/>
  </externalReference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b val="1"/>
      <color rgb="FFFFFFFF"/>
      <sz val="12"/>
    </font>
    <font>
      <name val="Times New Roman"/>
      <color theme="1"/>
      <sz val="11"/>
    </font>
    <font>
      <name val="Times New Roman"/>
      <b val="1"/>
      <color rgb="FFFFFFFF"/>
      <sz val="14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26">
    <dxf>
      <font/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caract&#233;ristiques%20Navire%20de%20p&#234;che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aractéristiques Navire de pêch"/>
      <sheetName val="caractéristique navire de pêche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id="1" name="Tableau1" displayName="Tableau1" ref="A1:Z38" headerRowCount="1" totalsRowShown="0">
  <autoFilter ref="A1:Z38"/>
  <tableColumns count="26">
    <tableColumn id="1" name="N° déclaration"/>
    <tableColumn id="7" name="Mouvement "/>
    <tableColumn id="23" name="Représentant "/>
    <tableColumn id="22" name="Adresse du représentant" dataDxfId="25">
      <calculatedColumnFormula>IF(C2&lt;&gt;"",VLOOKUP(C2,Tableau3[#All],2,0),"")</calculatedColumnFormula>
    </tableColumn>
    <tableColumn id="24" name="Pavillon "/>
    <tableColumn id="26" name="Type du navire" dataDxfId="24">
      <calculatedColumnFormula>IF(C2&lt;&gt;"","13","")</calculatedColumnFormula>
    </tableColumn>
    <tableColumn id="2" name="Nom du navire"/>
    <tableColumn id="3" name="Date d'entrée"/>
    <tableColumn id="4" name="Date de sortie " dataDxfId="23"/>
    <tableColumn id="5" name="Provenance " dataDxfId="22"/>
    <tableColumn id="6" name="Zone DN"/>
    <tableColumn id="8" name="Tonnage"/>
    <tableColumn id="12" name="Largueur " dataDxfId="21">
      <calculatedColumnFormula>IF(G2&lt;&gt;"",VLOOKUP(G2,'Caractéristique navire de pêche'!$B:$E,3,0),"")</calculatedColumnFormula>
    </tableColumn>
    <tableColumn id="13" name="Longueur " dataDxfId="20">
      <calculatedColumnFormula>IF(G2&lt;&gt;"",VLOOKUP(G2,'[1]caractéristiques Navire de pêch'!$B:$E,2,0),"")</calculatedColumnFormula>
    </tableColumn>
    <tableColumn id="11" name="Tirant d'eau " dataDxfId="19">
      <calculatedColumnFormula>IF(G2&lt;&gt;"",_xlfn.LET(_xlpm.te_reel,VLOOKUP(G2,Tableau13[[#All],[Nom du Navire ]:[Tirant d''eau (m)]],4,0),_xlpm.longueur,VLOOKUP(G2,Tableau13[[#All],[Nom du Navire ]:[Tirant d''eau (m)]],2,0),_xlpm.largeur,VLOOKUP(G2,Tableau13[[#All],[Nom du Navire ]:[Tirant d''eau (m)]],3,0),_xlpm.te_theorique,0.14*SQRT(_xlpm.longueur*_xlpm.largeur),IF(_xlpm.te_reel&gt;=_xlpm.te_theorique,_xlpm.te_reel,ROUND(_xlpm.te_theorique,2))),"")</calculatedColumnFormula>
    </tableColumn>
    <tableColumn id="9" name="Volumme Taxable " dataDxfId="18">
      <calculatedColumnFormula>IF(AND(M2&lt;&gt;"",N2&lt;&gt;"",O2&lt;&gt;""),ROUNDUP(N2*M2*O2,0),"")</calculatedColumnFormula>
    </tableColumn>
    <tableColumn id="10" name="Taux de base" dataDxfId="17">
      <calculatedColumnFormula>IF(B2&lt;&gt;"",IF(B2="Entrée",0.366,0.228),"")</calculatedColumnFormula>
    </tableColumn>
    <tableColumn id="14" name="Redevance Navire" dataDxfId="16">
      <calculatedColumnFormula>IF(AND(P2&lt;&gt;"",Q2&lt;&gt;""),ROUNDUP(P2*Q2,2),"")</calculatedColumnFormula>
    </tableColumn>
    <tableColumn id="17" name="Modulation non cummulable (4)" dataDxfId="15">
      <calculatedColumnFormula>IF(AND(L2&lt;&gt;"",P2&lt;&gt;""),IF(L2/P2&gt;2/15,0,IF(L2/P2&gt;1/10,-0.1,IF(L2/P2&gt;1/20,-0.3,IF(L2/P2&gt;1/40,-0.5,IF(L2/P2&gt;1/100,-0.6,IF(L2/P2&gt;1/250,-0.7,IF(L2/P2&gt;1/500,-0.8,-0.95))))))),"")</calculatedColumnFormula>
    </tableColumn>
    <tableColumn id="25" name="Abattement de fréquence " dataDxfId="14">
      <calculatedColumnFormula array="1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calculatedColumnFormula>
    </tableColumn>
    <tableColumn id="16" name="Modulation cummulable (3)" dataDxfId="13">
      <calculatedColumnFormula>IF(G2&lt;&gt;"",0,"")</calculatedColumnFormula>
    </tableColumn>
    <tableColumn id="15" name="Redevance déchets" dataDxfId="12">
      <calculatedColumnFormula>IF(AND(G2&lt;&gt;"",B2="Entrée"),65,"")</calculatedColumnFormula>
    </tableColumn>
    <tableColumn id="18" name="Montant Brut" dataDxfId="11">
      <calculatedColumnFormula>IF(AND(R2&lt;&gt;"",S2&lt;&gt;""),ROUNDUP(R2*(1+S2),2),"")</calculatedColumnFormula>
    </tableColumn>
    <tableColumn id="19" name="Montant Net" dataDxfId="10">
      <calculatedColumnFormula>IF(W2&lt;&gt;"",W2+V2,"")</calculatedColumnFormula>
    </tableColumn>
    <tableColumn id="20" name="Montant à percevoir " dataDxfId="9">
      <calculatedColumnFormula>IF(X2&lt;&gt;"",IF(X2&lt;9,0,IF(X2&lt;=16,16,X2)),"")</calculatedColumnFormula>
    </tableColumn>
    <tableColumn id="21" name="Montant Final" dataDxfId="8">
      <calculatedColumnFormula>IF(Y2&lt;&gt;"",Y2,"")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13" displayName="Tableau13" ref="A1:E15" headerRowCount="1" totalsRowShown="0" headerRowDxfId="7" headerRowBorderDxfId="6" totalsRowBorderDxfId="5">
  <autoFilter ref="A1:E15"/>
  <tableColumns count="5">
    <tableColumn id="1" name="Compagnie " dataDxfId="4"/>
    <tableColumn id="2" name="Nom du Navire " dataDxfId="3"/>
    <tableColumn id="3" name="Longueur hors tout (m)" dataDxfId="2"/>
    <tableColumn id="4" name="Largueur maximal (m)" dataDxfId="1"/>
    <tableColumn id="5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3" displayName="Tableau3" ref="A1:B5" headerRowCount="1" totalsRowShown="0">
  <autoFilter ref="A1:B5"/>
  <tableColumns count="2">
    <tableColumn id="1" name="compagnie "/>
    <tableColumn id="2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topLeftCell="A8" workbookViewId="0">
      <selection activeCell="AE2" sqref="AE2"/>
    </sheetView>
  </sheetViews>
  <sheetFormatPr baseColWidth="8" defaultRowHeight="15"/>
  <cols>
    <col width="22.42578125" customWidth="1" min="1" max="1"/>
    <col width="15.42578125" bestFit="1" customWidth="1" min="2" max="2"/>
    <col width="22.42578125" customWidth="1" min="3" max="3"/>
    <col width="48.85546875" customWidth="1" min="4" max="4"/>
    <col width="12" customWidth="1" min="5" max="5"/>
    <col width="18.140625" customWidth="1" min="6" max="6"/>
    <col width="18.7109375" customWidth="1" min="7" max="7"/>
    <col width="16.28515625" bestFit="1" customWidth="1" min="8" max="8"/>
    <col width="17.140625" bestFit="1" customWidth="1" style="2" min="9" max="9"/>
    <col width="15.140625" bestFit="1" customWidth="1" style="2" min="10" max="10"/>
    <col width="12" bestFit="1" customWidth="1" min="11" max="11"/>
    <col width="11.7109375" bestFit="1" customWidth="1" min="12" max="12"/>
    <col width="13.5703125" bestFit="1" customWidth="1" min="13" max="14"/>
    <col width="14.28515625" bestFit="1" customWidth="1" min="15" max="15"/>
    <col width="21.7109375" bestFit="1" customWidth="1" min="16" max="16"/>
    <col width="16" bestFit="1" customWidth="1" min="17" max="17"/>
    <col width="20.85546875" bestFit="1" customWidth="1" min="18" max="18"/>
    <col width="32" bestFit="1" customWidth="1" min="19" max="19"/>
    <col width="32" customWidth="1" min="20" max="20"/>
    <col width="28" bestFit="1" customWidth="1" min="21" max="21"/>
    <col width="20.140625" bestFit="1" customWidth="1" min="22" max="22"/>
    <col width="16.85546875" bestFit="1" customWidth="1" min="23" max="23"/>
    <col width="15.7109375" bestFit="1" customWidth="1" min="24" max="24"/>
    <col width="21.85546875" bestFit="1" customWidth="1" min="25" max="25"/>
    <col width="17.140625" customWidth="1" min="26" max="26"/>
  </cols>
  <sheetData>
    <row r="1" ht="15.75" customHeight="1">
      <c r="A1" s="1" t="inlineStr">
        <is>
          <t>N° déclaration</t>
        </is>
      </c>
      <c r="B1" s="1" t="inlineStr">
        <is>
          <t xml:space="preserve">Mouvement </t>
        </is>
      </c>
      <c r="C1" s="1" t="inlineStr">
        <is>
          <t xml:space="preserve">Représentant </t>
        </is>
      </c>
      <c r="D1" s="1" t="inlineStr">
        <is>
          <t>Adresse du représentant</t>
        </is>
      </c>
      <c r="E1" s="1" t="inlineStr">
        <is>
          <t xml:space="preserve">Pavillon </t>
        </is>
      </c>
      <c r="F1" s="1" t="inlineStr">
        <is>
          <t>Type du navire</t>
        </is>
      </c>
      <c r="G1" s="1" t="inlineStr">
        <is>
          <t>Nom du navire</t>
        </is>
      </c>
      <c r="H1" s="1" t="inlineStr">
        <is>
          <t>Date d'entrée</t>
        </is>
      </c>
      <c r="I1" s="1" t="inlineStr">
        <is>
          <t xml:space="preserve">Date de sortie </t>
        </is>
      </c>
      <c r="J1" s="1" t="inlineStr">
        <is>
          <t xml:space="preserve">Provenance </t>
        </is>
      </c>
      <c r="K1" s="1" t="inlineStr">
        <is>
          <t>Zone DN</t>
        </is>
      </c>
      <c r="L1" s="1" t="inlineStr">
        <is>
          <t>Tonnage</t>
        </is>
      </c>
      <c r="M1" s="1" t="inlineStr">
        <is>
          <t xml:space="preserve">Largueur </t>
        </is>
      </c>
      <c r="N1" s="1" t="inlineStr">
        <is>
          <t xml:space="preserve">Longueur </t>
        </is>
      </c>
      <c r="O1" t="inlineStr">
        <is>
          <t xml:space="preserve">Tirant d'eau </t>
        </is>
      </c>
      <c r="P1" s="1" t="inlineStr">
        <is>
          <t xml:space="preserve">Volumme Taxable </t>
        </is>
      </c>
      <c r="Q1" s="1" t="inlineStr">
        <is>
          <t>Taux de base</t>
        </is>
      </c>
      <c r="R1" s="1" t="inlineStr">
        <is>
          <t>Redevance Navire</t>
        </is>
      </c>
      <c r="S1" t="inlineStr">
        <is>
          <t>Modulation non cummulable (4)</t>
        </is>
      </c>
      <c r="T1" t="inlineStr">
        <is>
          <t xml:space="preserve">Abattement de fréquence </t>
        </is>
      </c>
      <c r="U1" t="inlineStr">
        <is>
          <t>Modulation cummulable (3)</t>
        </is>
      </c>
      <c r="V1" t="inlineStr">
        <is>
          <t>Redevance déchets</t>
        </is>
      </c>
      <c r="W1" s="1" t="inlineStr">
        <is>
          <t>Montant Brut</t>
        </is>
      </c>
      <c r="X1" s="1" t="inlineStr">
        <is>
          <t>Montant Net</t>
        </is>
      </c>
      <c r="Y1" t="inlineStr">
        <is>
          <t xml:space="preserve">Montant à percevoir </t>
        </is>
      </c>
      <c r="Z1" s="3" t="inlineStr">
        <is>
          <t>Montant Final</t>
        </is>
      </c>
    </row>
    <row r="2">
      <c r="B2" t="inlineStr">
        <is>
          <t>Entrée</t>
        </is>
      </c>
      <c r="C2" t="inlineStr">
        <is>
          <t>DSK Fish</t>
        </is>
      </c>
      <c r="D2">
        <f>IF(C2&lt;&gt;"",VLOOKUP(C2,Tableau3[#All],2,0),"")</f>
        <v/>
      </c>
      <c r="F2">
        <f>IF(C2&lt;&gt;"","13","")</f>
        <v/>
      </c>
      <c r="G2" t="inlineStr">
        <is>
          <t>MAYELEWO</t>
        </is>
      </c>
      <c r="L2" t="n">
        <v>2.684</v>
      </c>
      <c r="M2">
        <f>IF(G2&lt;&gt;"",VLOOKUP(G2,'Caractéristique navire de pêche'!$B:$E,3,0),"")</f>
        <v/>
      </c>
      <c r="N2">
        <f>IF(G2&lt;&gt;"",VLOOKUP(G2,'Caractéristique navire de pêche'!$B:$E,2,0),"")</f>
        <v/>
      </c>
      <c r="O2">
        <f>IF(G2&lt;&gt;"",_xlfn.LET(_xlpm.te_reel,VLOOKUP(G2,'Caractéristique navire de pêche'!$B:$E,4,0),_xlpm.longueur,VLOOKUP(G2,'Caractéristique navire de pêche'!$B:$E,2,0),_xlpm.largeur,VLOOKUP(G2,'Caractéristique navire de pêche'!$B:$E,3,0),_xlpm.te_theorique,0.14*SQRT(_xlpm.longueur*_xlpm.largeur),IF(_xlpm.te_reel&gt;=_xlpm.te_theorique,_xlpm.te_reel,ROUND(_xlpm.te_theorique,2))),"")</f>
        <v/>
      </c>
      <c r="P2">
        <f>IF(AND(M2&lt;&gt;"",N2&lt;&gt;"",O2&lt;&gt;""),ROUNDUP(N2*M2*O2,0),"")</f>
        <v/>
      </c>
      <c r="Q2">
        <f>IF(B2&lt;&gt;"",IF(B2="Entrée",0.366,0.228),"")</f>
        <v/>
      </c>
      <c r="R2">
        <f>IF(AND(P2&lt;&gt;"",Q2&lt;&gt;""),ROUNDUP(P2*Q2,2),"")</f>
        <v/>
      </c>
      <c r="S2">
        <f>IF(AND(L2&lt;&gt;"",P2&lt;&gt;""),IF(L2/P2&gt;2/15,0,IF(L2/P2&gt;1/10,-0.1,IF(L2/P2&gt;1/20,-0.3,IF(L2/P2&gt;1/40,-0.5,IF(L2/P2&gt;1/100,-0.6,IF(L2/P2&gt;1/250,-0.7,IF(L2/P2&gt;1/500,-0.8,-0.95))))))),"")</f>
        <v/>
      </c>
      <c r="T2">
        <f t="array" ref="T2">IF(G2&lt;&gt;"",IF(COUNTIFS($G$2:G2,G2,$H$2:H2,"&gt;="&amp;DATE(YEAR(H2),1,1),$H$2:H2,"&lt;="&amp;DATE(YEAR(Q:QH2),12,31))&lt;=6,0,IF(COUNTIFS($G$2:G2,G2,$H$2:H2,"&gt;="&amp;DATE(YEAR(H2),1,1),$H$2:H2,"&lt;="&amp;DATE(YEAR(H2),12,31))&lt;=15,-0.1,IF(COUNTIFS($G$2:G2,G2,$H$2:H2,"&gt;="&amp;DATE(YEAR(H2),1,1),$H$2:H2,"&lt;="&amp;DATE(YEAR(H2),12,31))&lt;=30,-0.15,IF(COUNTIFS($G$2:G2,G2,$H$2:H2,"&gt;="&amp;DATE(YEAR(H2),1,1),$H$2:H2,"&lt;="&amp;DATE(YEAR(H2),12,31))&lt;=60,-0.2,IF(COUNTIFS($G$2:G2,G2,$H$2:H2,"&gt;="&amp;DATE(YEAR(H2),1,1),$H$2:H2,"&lt;="&amp;DATE(YEAR(H2),12,31))&lt;=120,-0.25,-0.3))))),"")</f>
        <v/>
      </c>
      <c r="U2">
        <f>IF(G2&lt;&gt;"",0,"")</f>
        <v/>
      </c>
      <c r="V2">
        <f>IF(AND(G2&lt;&gt;"",B2="Entrée"),65,"")</f>
        <v/>
      </c>
      <c r="W2">
        <f>IF(AND(R2&lt;&gt;"",S2&lt;&gt;""),ROUNDUP(R2*(1+S2),2),"")</f>
        <v/>
      </c>
      <c r="X2">
        <f>IF(W2&lt;&gt;"",W2+V2,"")</f>
        <v/>
      </c>
      <c r="Y2">
        <f>IF(X2&lt;&gt;"",IF(X2&lt;9,0,IF(X2&lt;=16,16,X2)),"")</f>
        <v/>
      </c>
      <c r="Z2">
        <f>IF(Y2&lt;&gt;"",Y2,"")</f>
        <v/>
      </c>
    </row>
    <row r="3">
      <c r="D3">
        <f>IF(C3&lt;&gt;"",VLOOKUP(C3,Tableau3[#All],2,0),"")</f>
        <v/>
      </c>
      <c r="F3">
        <f>IF(C3&lt;&gt;"","13","")</f>
        <v/>
      </c>
      <c r="M3">
        <f>IF(G3&lt;&gt;"",VLOOKUP(G3,'Caractéristique navire de pêche'!$B:$E,3,0),"")</f>
        <v/>
      </c>
      <c r="O3">
        <f>IF(G3&lt;&gt;"",_xlfn.LET(_xlpm.te_reel,VLOOKUP(G3,Tableau13[[#All],[Nom du Navire ]:[Tirant d''eau (m)]],4,0),_xlpm.longueur,VLOOKUP(G3,Tableau13[[#All],[Nom du Navire ]:[Tirant d''eau (m)]],2,0),_xlpm.largeur,VLOOKUP(G3,Tableau13[[#All],[Nom du Navire ]:[Tirant d''eau (m)]],3,0),_xlpm.te_theorique,0.14*SQRT(_xlpm.longueur*_xlpm.largeur),IF(_xlpm.te_reel&gt;=_xlpm.te_theorique,_xlpm.te_reel,ROUND(_xlpm.te_theorique,2))),"")</f>
        <v/>
      </c>
      <c r="P3">
        <f>IF(AND(M3&lt;&gt;"",N3&lt;&gt;"",O3&lt;&gt;""),ROUNDUP(N3*M3*O3,0),"")</f>
        <v/>
      </c>
      <c r="Q3">
        <f>IF(B3&lt;&gt;"",IF(B3="Entrée",0.366,0.228),"")</f>
        <v/>
      </c>
      <c r="R3">
        <f>IF(AND(P3&lt;&gt;"",Q3&lt;&gt;""),ROUNDUP(P3*Q3,2),"")</f>
        <v/>
      </c>
      <c r="S3">
        <f>IF(AND(L3&lt;&gt;"",P3&lt;&gt;""),IF(L3/P3&gt;2/15,0,IF(L3/P3&gt;1/10,-0.1,IF(L3/P3&gt;1/20,-0.3,IF(L3/P3&gt;1/40,-0.5,IF(L3/P3&gt;1/100,-0.6,IF(L3/P3&gt;1/250,-0.7,IF(L3/P3&gt;1/500,-0.8,-0.95))))))),"")</f>
        <v/>
      </c>
      <c r="T3">
        <f t="array" ref="T3">IF(G3&lt;&gt;"",IF(COUNTIFS($G$2:G3,G3,$H$2:H3,"&gt;="&amp;DATE(YEAR(H3),1,1),$H$2:H3,"&lt;="&amp;DATE(YEAR(Q:QH3),12,31))&lt;=6,0,IF(COUNTIFS($G$2:G3,G3,$H$2:H3,"&gt;="&amp;DATE(YEAR(H3),1,1),$H$2:H3,"&lt;="&amp;DATE(YEAR(H3),12,31))&lt;=15,-0.1,IF(COUNTIFS($G$2:G3,G3,$H$2:H3,"&gt;="&amp;DATE(YEAR(H3),1,1),$H$2:H3,"&lt;="&amp;DATE(YEAR(H3),12,31))&lt;=30,-0.15,IF(COUNTIFS($G$2:G3,G3,$H$2:H3,"&gt;="&amp;DATE(YEAR(H3),1,1),$H$2:H3,"&lt;="&amp;DATE(YEAR(H3),12,31))&lt;=60,-0.2,IF(COUNTIFS($G$2:G3,G3,$H$2:H3,"&gt;="&amp;DATE(YEAR(H3),1,1),$H$2:H3,"&lt;="&amp;DATE(YEAR(H3),12,31))&lt;=120,-0.25,-0.3))))),"")</f>
        <v/>
      </c>
      <c r="U3">
        <f>IF(G3&lt;&gt;"",0,"")</f>
        <v/>
      </c>
      <c r="V3">
        <f>IF(AND(G3&lt;&gt;"",B3="Entrée"),65,"")</f>
        <v/>
      </c>
      <c r="W3">
        <f>IF(AND(R3&lt;&gt;"",S3&lt;&gt;""),ROUNDUP(R3*(1+S3),2),"")</f>
        <v/>
      </c>
      <c r="X3">
        <f>IF(W3&lt;&gt;"",W3+V3,"")</f>
        <v/>
      </c>
      <c r="Y3">
        <f>IF(X3&lt;&gt;"",IF(X3&lt;9,0,IF(X3&lt;=16,16,X3)),"")</f>
        <v/>
      </c>
      <c r="Z3">
        <f>IF(Y3&lt;&gt;"",Y3,"")</f>
        <v/>
      </c>
    </row>
    <row r="4">
      <c r="D4">
        <f>IF(C4&lt;&gt;"",VLOOKUP(C4,Tableau3[#All],2,0),"")</f>
        <v/>
      </c>
      <c r="F4">
        <f>IF(C4&lt;&gt;"","13","")</f>
        <v/>
      </c>
      <c r="M4">
        <f>IF(G4&lt;&gt;"",VLOOKUP(G4,'Caractéristique navire de pêche'!$B:$E,3,0),"")</f>
        <v/>
      </c>
      <c r="N4">
        <f>IF(G4&lt;&gt;"",VLOOKUP(G4,'[1]caractéristiques Navire de pêch'!$B:$E,2,0),"")</f>
        <v/>
      </c>
      <c r="O4">
        <f>IF(G4&lt;&gt;"",_xlfn.LET(_xlpm.te_reel,VLOOKUP(G4,Tableau13[[#All],[Nom du Navire ]:[Tirant d''eau (m)]],4,0),_xlpm.longueur,VLOOKUP(G4,Tableau13[[#All],[Nom du Navire ]:[Tirant d''eau (m)]],2,0),_xlpm.largeur,VLOOKUP(G4,Tableau13[[#All],[Nom du Navire ]:[Tirant d''eau (m)]],3,0),_xlpm.te_theorique,0.14*SQRT(_xlpm.longueur*_xlpm.largeur),IF(_xlpm.te_reel&gt;=_xlpm.te_theorique,_xlpm.te_reel,ROUND(_xlpm.te_theorique,2))),"")</f>
        <v/>
      </c>
      <c r="P4">
        <f>IF(AND(M4&lt;&gt;"",N4&lt;&gt;"",O4&lt;&gt;""),ROUNDUP(N4*M4*O4,0),"")</f>
        <v/>
      </c>
      <c r="Q4">
        <f>IF(B4&lt;&gt;"",IF(B4="Entrée",0.366,0.228),"")</f>
        <v/>
      </c>
      <c r="R4">
        <f>IF(AND(P4&lt;&gt;"",Q4&lt;&gt;""),ROUNDUP(P4*Q4,2),"")</f>
        <v/>
      </c>
      <c r="S4">
        <f>IF(AND(L4&lt;&gt;"",P4&lt;&gt;""),IF(L4/P4&gt;2/15,0,IF(L4/P4&gt;1/10,-0.1,IF(L4/P4&gt;1/20,-0.3,IF(L4/P4&gt;1/40,-0.5,IF(L4/P4&gt;1/100,-0.6,IF(L4/P4&gt;1/250,-0.7,IF(L4/P4&gt;1/500,-0.8,-0.95))))))),"")</f>
        <v/>
      </c>
      <c r="T4">
        <f t="array" ref="T4">IF(G4&lt;&gt;"",IF(COUNTIFS($G$2:G4,G4,$H$2:H4,"&gt;="&amp;DATE(YEAR(H4),1,1),$H$2:H4,"&lt;="&amp;DATE(YEAR(Q:QH4),12,31))&lt;=6,0,IF(COUNTIFS($G$2:G4,G4,$H$2:H4,"&gt;="&amp;DATE(YEAR(H4),1,1),$H$2:H4,"&lt;="&amp;DATE(YEAR(H4),12,31))&lt;=15,-0.1,IF(COUNTIFS($G$2:G4,G4,$H$2:H4,"&gt;="&amp;DATE(YEAR(H4),1,1),$H$2:H4,"&lt;="&amp;DATE(YEAR(H4),12,31))&lt;=30,-0.15,IF(COUNTIFS($G$2:G4,G4,$H$2:H4,"&gt;="&amp;DATE(YEAR(H4),1,1),$H$2:H4,"&lt;="&amp;DATE(YEAR(H4),12,31))&lt;=60,-0.2,IF(COUNTIFS($G$2:G4,G4,$H$2:H4,"&gt;="&amp;DATE(YEAR(H4),1,1),$H$2:H4,"&lt;="&amp;DATE(YEAR(H4),12,31))&lt;=120,-0.25,-0.3))))),"")</f>
        <v/>
      </c>
      <c r="U4">
        <f>IF(G4&lt;&gt;"",0,"")</f>
        <v/>
      </c>
      <c r="V4">
        <f>IF(AND(G4&lt;&gt;"",B4="Entrée"),65,"")</f>
        <v/>
      </c>
      <c r="W4">
        <f>IF(AND(R4&lt;&gt;"",S4&lt;&gt;""),ROUNDUP(R4*(1+S4),2),"")</f>
        <v/>
      </c>
      <c r="X4">
        <f>IF(W4&lt;&gt;"",W4+V4,"")</f>
        <v/>
      </c>
      <c r="Y4">
        <f>IF(X4&lt;&gt;"",IF(X4&lt;9,0,IF(X4&lt;=16,16,X4)),"")</f>
        <v/>
      </c>
      <c r="Z4">
        <f>IF(Y4&lt;&gt;"",Y4,"")</f>
        <v/>
      </c>
    </row>
    <row r="5">
      <c r="D5">
        <f>IF(C5&lt;&gt;"",VLOOKUP(C5,Tableau3[#All],2,0),"")</f>
        <v/>
      </c>
      <c r="F5">
        <f>IF(C5&lt;&gt;"","13","")</f>
        <v/>
      </c>
      <c r="M5">
        <f>IF(G5&lt;&gt;"",VLOOKUP(G5,'Caractéristique navire de pêche'!$B:$E,3,0),"")</f>
        <v/>
      </c>
      <c r="N5">
        <f>IF(G5&lt;&gt;"",VLOOKUP(G5,'[1]caractéristiques Navire de pêch'!$B:$E,2,0),"")</f>
        <v/>
      </c>
      <c r="O5">
        <f>IF(G5&lt;&gt;"",_xlfn.LET(_xlpm.te_reel,VLOOKUP(G5,Tableau13[[#All],[Nom du Navire ]:[Tirant d''eau (m)]],4,0),_xlpm.longueur,VLOOKUP(G5,Tableau13[[#All],[Nom du Navire ]:[Tirant d''eau (m)]],2,0),_xlpm.largeur,VLOOKUP(G5,Tableau13[[#All],[Nom du Navire ]:[Tirant d''eau (m)]],3,0),_xlpm.te_theorique,0.14*SQRT(_xlpm.longueur*_xlpm.largeur),IF(_xlpm.te_reel&gt;=_xlpm.te_theorique,_xlpm.te_reel,ROUND(_xlpm.te_theorique,2))),"")</f>
        <v/>
      </c>
      <c r="P5">
        <f>IF(AND(M5&lt;&gt;"",N5&lt;&gt;"",O5&lt;&gt;""),ROUNDUP(N5*M5*O5,0),"")</f>
        <v/>
      </c>
      <c r="Q5">
        <f>IF(B5&lt;&gt;"",IF(B5="Entrée",0.366,0.228),"")</f>
        <v/>
      </c>
      <c r="R5">
        <f>IF(AND(P5&lt;&gt;"",Q5&lt;&gt;""),ROUNDUP(P5*Q5,2),"")</f>
        <v/>
      </c>
      <c r="S5">
        <f>IF(AND(L5&lt;&gt;"",P5&lt;&gt;""),IF(L5/P5&gt;2/15,0,IF(L5/P5&gt;1/10,-0.1,IF(L5/P5&gt;1/20,-0.3,IF(L5/P5&gt;1/40,-0.5,IF(L5/P5&gt;1/100,-0.6,IF(L5/P5&gt;1/250,-0.7,IF(L5/P5&gt;1/500,-0.8,-0.95))))))),"")</f>
        <v/>
      </c>
      <c r="T5">
        <f t="array" ref="T5">IF(G5&lt;&gt;"",IF(COUNTIFS($G$2:G5,G5,$H$2:H5,"&gt;="&amp;DATE(YEAR(H5),1,1),$H$2:H5,"&lt;="&amp;DATE(YEAR(Q:QH5),12,31))&lt;=6,0,IF(COUNTIFS($G$2:G5,G5,$H$2:H5,"&gt;="&amp;DATE(YEAR(H5),1,1),$H$2:H5,"&lt;="&amp;DATE(YEAR(H5),12,31))&lt;=15,-0.1,IF(COUNTIFS($G$2:G5,G5,$H$2:H5,"&gt;="&amp;DATE(YEAR(H5),1,1),$H$2:H5,"&lt;="&amp;DATE(YEAR(H5),12,31))&lt;=30,-0.15,IF(COUNTIFS($G$2:G5,G5,$H$2:H5,"&gt;="&amp;DATE(YEAR(H5),1,1),$H$2:H5,"&lt;="&amp;DATE(YEAR(H5),12,31))&lt;=60,-0.2,IF(COUNTIFS($G$2:G5,G5,$H$2:H5,"&gt;="&amp;DATE(YEAR(H5),1,1),$H$2:H5,"&lt;="&amp;DATE(YEAR(H5),12,31))&lt;=120,-0.25,-0.3))))),"")</f>
        <v/>
      </c>
      <c r="U5">
        <f>IF(G5&lt;&gt;"",0,"")</f>
        <v/>
      </c>
      <c r="V5">
        <f>IF(AND(G5&lt;&gt;"",B5="Entrée"),65,"")</f>
        <v/>
      </c>
      <c r="W5">
        <f>IF(AND(R5&lt;&gt;"",S5&lt;&gt;""),ROUNDUP(R5*(1+S5),2),"")</f>
        <v/>
      </c>
      <c r="X5">
        <f>IF(W5&lt;&gt;"",W5+V5,"")</f>
        <v/>
      </c>
      <c r="Y5">
        <f>IF(X5&lt;&gt;"",IF(X5&lt;9,0,IF(X5&lt;=16,16,X5)),"")</f>
        <v/>
      </c>
      <c r="Z5">
        <f>IF(Y5&lt;&gt;"",Y5,"")</f>
        <v/>
      </c>
    </row>
    <row r="6">
      <c r="D6">
        <f>IF(C6&lt;&gt;"",VLOOKUP(C6,Tableau3[#All],2,0),"")</f>
        <v/>
      </c>
      <c r="F6">
        <f>IF(C6&lt;&gt;"","13","")</f>
        <v/>
      </c>
      <c r="M6">
        <f>IF(G6&lt;&gt;"",VLOOKUP(G6,'Caractéristique navire de pêche'!$B:$E,3,0),"")</f>
        <v/>
      </c>
      <c r="N6">
        <f>IF(G6&lt;&gt;"",VLOOKUP(G6,'[1]caractéristiques Navire de pêch'!$B:$E,2,0),"")</f>
        <v/>
      </c>
      <c r="O6">
        <f>IF(G6&lt;&gt;"",_xlfn.LET(_xlpm.te_reel,VLOOKUP(G6,Tableau13[[#All],[Nom du Navire ]:[Tirant d''eau (m)]],4,0),_xlpm.longueur,VLOOKUP(G6,Tableau13[[#All],[Nom du Navire ]:[Tirant d''eau (m)]],2,0),_xlpm.largeur,VLOOKUP(G6,Tableau13[[#All],[Nom du Navire ]:[Tirant d''eau (m)]],3,0),_xlpm.te_theorique,0.14*SQRT(_xlpm.longueur*_xlpm.largeur),IF(_xlpm.te_reel&gt;=_xlpm.te_theorique,_xlpm.te_reel,ROUND(_xlpm.te_theorique,2))),"")</f>
        <v/>
      </c>
      <c r="P6">
        <f>IF(AND(M6&lt;&gt;"",N6&lt;&gt;"",O6&lt;&gt;""),ROUNDUP(N6*M6*O6,0),"")</f>
        <v/>
      </c>
      <c r="Q6">
        <f>IF(B6&lt;&gt;"",IF(B6="Entrée",0.366,0.228),"")</f>
        <v/>
      </c>
      <c r="R6">
        <f>IF(AND(P6&lt;&gt;"",Q6&lt;&gt;""),ROUNDUP(P6*Q6,2),"")</f>
        <v/>
      </c>
      <c r="S6">
        <f>IF(AND(L6&lt;&gt;"",P6&lt;&gt;""),IF(L6/P6&gt;2/15,0,IF(L6/P6&gt;1/10,-0.1,IF(L6/P6&gt;1/20,-0.3,IF(L6/P6&gt;1/40,-0.5,IF(L6/P6&gt;1/100,-0.6,IF(L6/P6&gt;1/250,-0.7,IF(L6/P6&gt;1/500,-0.8,-0.95))))))),"")</f>
        <v/>
      </c>
      <c r="T6">
        <f t="array" ref="T6">IF(G6&lt;&gt;"",IF(COUNTIFS($G$2:G6,G6,$H$2:H6,"&gt;="&amp;DATE(YEAR(H6),1,1),$H$2:H6,"&lt;="&amp;DATE(YEAR(Q:QH6),12,31))&lt;=6,0,IF(COUNTIFS($G$2:G6,G6,$H$2:H6,"&gt;="&amp;DATE(YEAR(H6),1,1),$H$2:H6,"&lt;="&amp;DATE(YEAR(H6),12,31))&lt;=15,-0.1,IF(COUNTIFS($G$2:G6,G6,$H$2:H6,"&gt;="&amp;DATE(YEAR(H6),1,1),$H$2:H6,"&lt;="&amp;DATE(YEAR(H6),12,31))&lt;=30,-0.15,IF(COUNTIFS($G$2:G6,G6,$H$2:H6,"&gt;="&amp;DATE(YEAR(H6),1,1),$H$2:H6,"&lt;="&amp;DATE(YEAR(H6),12,31))&lt;=60,-0.2,IF(COUNTIFS($G$2:G6,G6,$H$2:H6,"&gt;="&amp;DATE(YEAR(H6),1,1),$H$2:H6,"&lt;="&amp;DATE(YEAR(H6),12,31))&lt;=120,-0.25,-0.3))))),"")</f>
        <v/>
      </c>
      <c r="U6">
        <f>IF(G6&lt;&gt;"",0,"")</f>
        <v/>
      </c>
      <c r="V6">
        <f>IF(AND(G6&lt;&gt;"",B6="Entrée"),65,"")</f>
        <v/>
      </c>
      <c r="W6">
        <f>IF(AND(R6&lt;&gt;"",S6&lt;&gt;""),ROUNDUP(R6*(1+S6),2),"")</f>
        <v/>
      </c>
      <c r="X6">
        <f>IF(W6&lt;&gt;"",W6+V6,"")</f>
        <v/>
      </c>
      <c r="Y6">
        <f>IF(X6&lt;&gt;"",IF(X6&lt;9,0,IF(X6&lt;=16,16,X6)),"")</f>
        <v/>
      </c>
      <c r="Z6">
        <f>IF(Y6&lt;&gt;"",Y6,"")</f>
        <v/>
      </c>
    </row>
    <row r="7">
      <c r="D7">
        <f>IF(C7&lt;&gt;"",VLOOKUP(C7,Tableau3[#All],2,0),"")</f>
        <v/>
      </c>
      <c r="F7">
        <f>IF(C7&lt;&gt;"","13","")</f>
        <v/>
      </c>
      <c r="M7">
        <f>IF(G7&lt;&gt;"",VLOOKUP(G7,'Caractéristique navire de pêche'!$B:$E,3,0),"")</f>
        <v/>
      </c>
      <c r="N7">
        <f>IF(G7&lt;&gt;"",VLOOKUP(G7,'[1]caractéristiques Navire de pêch'!$B:$E,2,0),"")</f>
        <v/>
      </c>
      <c r="O7">
        <f>IF(G7&lt;&gt;"",_xlfn.LET(_xlpm.te_reel,VLOOKUP(G7,Tableau13[[#All],[Nom du Navire ]:[Tirant d''eau (m)]],4,0),_xlpm.longueur,VLOOKUP(G7,Tableau13[[#All],[Nom du Navire ]:[Tirant d''eau (m)]],2,0),_xlpm.largeur,VLOOKUP(G7,Tableau13[[#All],[Nom du Navire ]:[Tirant d''eau (m)]],3,0),_xlpm.te_theorique,0.14*SQRT(_xlpm.longueur*_xlpm.largeur),IF(_xlpm.te_reel&gt;=_xlpm.te_theorique,_xlpm.te_reel,ROUND(_xlpm.te_theorique,2))),"")</f>
        <v/>
      </c>
      <c r="P7">
        <f>IF(AND(M7&lt;&gt;"",N7&lt;&gt;"",O7&lt;&gt;""),ROUNDUP(N7*M7*O7,0),"")</f>
        <v/>
      </c>
      <c r="Q7">
        <f>IF(B7&lt;&gt;"",IF(B7="Entrée",0.366,0.228),"")</f>
        <v/>
      </c>
      <c r="R7">
        <f>IF(AND(P7&lt;&gt;"",Q7&lt;&gt;""),ROUNDUP(P7*Q7,2),"")</f>
        <v/>
      </c>
      <c r="S7">
        <f>IF(AND(L7&lt;&gt;"",P7&lt;&gt;""),IF(L7/P7&gt;2/15,0,IF(L7/P7&gt;1/10,-0.1,IF(L7/P7&gt;1/20,-0.3,IF(L7/P7&gt;1/40,-0.5,IF(L7/P7&gt;1/100,-0.6,IF(L7/P7&gt;1/250,-0.7,IF(L7/P7&gt;1/500,-0.8,-0.95))))))),"")</f>
        <v/>
      </c>
      <c r="T7">
        <f t="array" ref="T7">IF(G7&lt;&gt;"",IF(COUNTIFS($G$2:G7,G7,$H$2:H7,"&gt;="&amp;DATE(YEAR(H7),1,1),$H$2:H7,"&lt;="&amp;DATE(YEAR(Q:QH7),12,31))&lt;=6,0,IF(COUNTIFS($G$2:G7,G7,$H$2:H7,"&gt;="&amp;DATE(YEAR(H7),1,1),$H$2:H7,"&lt;="&amp;DATE(YEAR(H7),12,31))&lt;=15,-0.1,IF(COUNTIFS($G$2:G7,G7,$H$2:H7,"&gt;="&amp;DATE(YEAR(H7),1,1),$H$2:H7,"&lt;="&amp;DATE(YEAR(H7),12,31))&lt;=30,-0.15,IF(COUNTIFS($G$2:G7,G7,$H$2:H7,"&gt;="&amp;DATE(YEAR(H7),1,1),$H$2:H7,"&lt;="&amp;DATE(YEAR(H7),12,31))&lt;=60,-0.2,IF(COUNTIFS($G$2:G7,G7,$H$2:H7,"&gt;="&amp;DATE(YEAR(H7),1,1),$H$2:H7,"&lt;="&amp;DATE(YEAR(H7),12,31))&lt;=120,-0.25,-0.3))))),"")</f>
        <v/>
      </c>
      <c r="U7">
        <f>IF(G7&lt;&gt;"",0,"")</f>
        <v/>
      </c>
      <c r="V7">
        <f>IF(AND(G7&lt;&gt;"",B7="Entrée"),65,"")</f>
        <v/>
      </c>
      <c r="W7">
        <f>IF(AND(R7&lt;&gt;"",S7&lt;&gt;""),ROUNDUP(R7*(1+S7),2),"")</f>
        <v/>
      </c>
      <c r="X7">
        <f>IF(W7&lt;&gt;"",W7+V7,"")</f>
        <v/>
      </c>
      <c r="Y7">
        <f>IF(X7&lt;&gt;"",IF(X7&lt;9,0,IF(X7&lt;=16,16,X7)),"")</f>
        <v/>
      </c>
      <c r="Z7">
        <f>IF(Y7&lt;&gt;"",Y7,"")</f>
        <v/>
      </c>
    </row>
    <row r="8">
      <c r="D8">
        <f>IF(C8&lt;&gt;"",VLOOKUP(C8,Tableau3[#All],2,0),"")</f>
        <v/>
      </c>
      <c r="F8">
        <f>IF(C8&lt;&gt;"","13","")</f>
        <v/>
      </c>
      <c r="M8">
        <f>IF(G8&lt;&gt;"",VLOOKUP(G8,'Caractéristique navire de pêche'!$B:$E,3,0),"")</f>
        <v/>
      </c>
      <c r="N8">
        <f>IF(G8&lt;&gt;"",VLOOKUP(G8,'[1]caractéristiques Navire de pêch'!$B:$E,2,0),"")</f>
        <v/>
      </c>
      <c r="O8">
        <f>IF(G8&lt;&gt;"",_xlfn.LET(_xlpm.te_reel,VLOOKUP(G8,Tableau13[[#All],[Nom du Navire ]:[Tirant d''eau (m)]],4,0),_xlpm.longueur,VLOOKUP(G8,Tableau13[[#All],[Nom du Navire ]:[Tirant d''eau (m)]],2,0),_xlpm.largeur,VLOOKUP(G8,Tableau13[[#All],[Nom du Navire ]:[Tirant d''eau (m)]],3,0),_xlpm.te_theorique,0.14*SQRT(_xlpm.longueur*_xlpm.largeur),IF(_xlpm.te_reel&gt;=_xlpm.te_theorique,_xlpm.te_reel,ROUND(_xlpm.te_theorique,2))),"")</f>
        <v/>
      </c>
      <c r="P8">
        <f>IF(AND(M8&lt;&gt;"",N8&lt;&gt;"",O8&lt;&gt;""),ROUNDUP(N8*M8*O8,0),"")</f>
        <v/>
      </c>
      <c r="Q8">
        <f>IF(B8&lt;&gt;"",IF(B8="Entrée",0.366,0.228),"")</f>
        <v/>
      </c>
      <c r="R8">
        <f>IF(AND(P8&lt;&gt;"",Q8&lt;&gt;""),ROUNDUP(P8*Q8,2),"")</f>
        <v/>
      </c>
      <c r="S8">
        <f>IF(AND(L8&lt;&gt;"",P8&lt;&gt;""),IF(L8/P8&gt;2/15,0,IF(L8/P8&gt;1/10,-0.1,IF(L8/P8&gt;1/20,-0.3,IF(L8/P8&gt;1/40,-0.5,IF(L8/P8&gt;1/100,-0.6,IF(L8/P8&gt;1/250,-0.7,IF(L8/P8&gt;1/500,-0.8,-0.95))))))),"")</f>
        <v/>
      </c>
      <c r="T8">
        <f t="array" ref="T8">IF(G8&lt;&gt;"",IF(COUNTIFS($G$2:G8,G8,$H$2:H8,"&gt;="&amp;DATE(YEAR(H8),1,1),$H$2:H8,"&lt;="&amp;DATE(YEAR(Q:QH8),12,31))&lt;=6,0,IF(COUNTIFS($G$2:G8,G8,$H$2:H8,"&gt;="&amp;DATE(YEAR(H8),1,1),$H$2:H8,"&lt;="&amp;DATE(YEAR(H8),12,31))&lt;=15,-0.1,IF(COUNTIFS($G$2:G8,G8,$H$2:H8,"&gt;="&amp;DATE(YEAR(H8),1,1),$H$2:H8,"&lt;="&amp;DATE(YEAR(H8),12,31))&lt;=30,-0.15,IF(COUNTIFS($G$2:G8,G8,$H$2:H8,"&gt;="&amp;DATE(YEAR(H8),1,1),$H$2:H8,"&lt;="&amp;DATE(YEAR(H8),12,31))&lt;=60,-0.2,IF(COUNTIFS($G$2:G8,G8,$H$2:H8,"&gt;="&amp;DATE(YEAR(H8),1,1),$H$2:H8,"&lt;="&amp;DATE(YEAR(H8),12,31))&lt;=120,-0.25,-0.3))))),"")</f>
        <v/>
      </c>
      <c r="U8">
        <f>IF(G8&lt;&gt;"",0,"")</f>
        <v/>
      </c>
      <c r="V8">
        <f>IF(AND(G8&lt;&gt;"",B8="Entrée"),65,"")</f>
        <v/>
      </c>
      <c r="W8">
        <f>IF(AND(R8&lt;&gt;"",S8&lt;&gt;""),ROUNDUP(R8*(1+S8),2),"")</f>
        <v/>
      </c>
      <c r="X8">
        <f>IF(W8&lt;&gt;"",W8+V8,"")</f>
        <v/>
      </c>
      <c r="Y8">
        <f>IF(X8&lt;&gt;"",IF(X8&lt;9,0,IF(X8&lt;=16,16,X8)),"")</f>
        <v/>
      </c>
      <c r="Z8">
        <f>IF(Y8&lt;&gt;"",Y8,"")</f>
        <v/>
      </c>
    </row>
    <row r="9">
      <c r="D9">
        <f>IF(C9&lt;&gt;"",VLOOKUP(C9,Tableau3[#All],2,0),"")</f>
        <v/>
      </c>
      <c r="F9">
        <f>IF(C9&lt;&gt;"","13","")</f>
        <v/>
      </c>
      <c r="M9">
        <f>IF(G9&lt;&gt;"",VLOOKUP(G9,'Caractéristique navire de pêche'!$B:$E,3,0),"")</f>
        <v/>
      </c>
      <c r="N9">
        <f>IF(G9&lt;&gt;"",VLOOKUP(G9,'[1]caractéristiques Navire de pêch'!$B:$E,2,0),"")</f>
        <v/>
      </c>
      <c r="O9">
        <f>IF(G9&lt;&gt;"",_xlfn.LET(_xlpm.te_reel,VLOOKUP(G9,Tableau13[[#All],[Nom du Navire ]:[Tirant d''eau (m)]],4,0),_xlpm.longueur,VLOOKUP(G9,Tableau13[[#All],[Nom du Navire ]:[Tirant d''eau (m)]],2,0),_xlpm.largeur,VLOOKUP(G9,Tableau13[[#All],[Nom du Navire ]:[Tirant d''eau (m)]],3,0),_xlpm.te_theorique,0.14*SQRT(_xlpm.longueur*_xlpm.largeur),IF(_xlpm.te_reel&gt;=_xlpm.te_theorique,_xlpm.te_reel,ROUND(_xlpm.te_theorique,2))),"")</f>
        <v/>
      </c>
      <c r="P9">
        <f>IF(AND(M9&lt;&gt;"",N9&lt;&gt;"",O9&lt;&gt;""),ROUNDUP(N9*M9*O9,0),"")</f>
        <v/>
      </c>
      <c r="Q9">
        <f>IF(B9&lt;&gt;"",IF(B9="Entrée",0.366,0.228),"")</f>
        <v/>
      </c>
      <c r="R9">
        <f>IF(AND(P9&lt;&gt;"",Q9&lt;&gt;""),ROUNDUP(P9*Q9,2),"")</f>
        <v/>
      </c>
      <c r="S9">
        <f>IF(AND(L9&lt;&gt;"",P9&lt;&gt;""),IF(L9/P9&gt;2/15,0,IF(L9/P9&gt;1/10,-0.1,IF(L9/P9&gt;1/20,-0.3,IF(L9/P9&gt;1/40,-0.5,IF(L9/P9&gt;1/100,-0.6,IF(L9/P9&gt;1/250,-0.7,IF(L9/P9&gt;1/500,-0.8,-0.95))))))),"")</f>
        <v/>
      </c>
      <c r="T9">
        <f t="array" ref="T9">IF(G9&lt;&gt;"",IF(COUNTIFS($G$2:G9,G9,$H$2:H9,"&gt;="&amp;DATE(YEAR(H9),1,1),$H$2:H9,"&lt;="&amp;DATE(YEAR(Q:QH9),12,31))&lt;=6,0,IF(COUNTIFS($G$2:G9,G9,$H$2:H9,"&gt;="&amp;DATE(YEAR(H9),1,1),$H$2:H9,"&lt;="&amp;DATE(YEAR(H9),12,31))&lt;=15,-0.1,IF(COUNTIFS($G$2:G9,G9,$H$2:H9,"&gt;="&amp;DATE(YEAR(H9),1,1),$H$2:H9,"&lt;="&amp;DATE(YEAR(H9),12,31))&lt;=30,-0.15,IF(COUNTIFS($G$2:G9,G9,$H$2:H9,"&gt;="&amp;DATE(YEAR(H9),1,1),$H$2:H9,"&lt;="&amp;DATE(YEAR(H9),12,31))&lt;=60,-0.2,IF(COUNTIFS($G$2:G9,G9,$H$2:H9,"&gt;="&amp;DATE(YEAR(H9),1,1),$H$2:H9,"&lt;="&amp;DATE(YEAR(H9),12,31))&lt;=120,-0.25,-0.3))))),"")</f>
        <v/>
      </c>
      <c r="U9">
        <f>IF(G9&lt;&gt;"",0,"")</f>
        <v/>
      </c>
      <c r="V9">
        <f>IF(AND(G9&lt;&gt;"",B9="Entrée"),65,"")</f>
        <v/>
      </c>
      <c r="W9">
        <f>IF(AND(R9&lt;&gt;"",S9&lt;&gt;""),ROUNDUP(R9*(1+S9),2),"")</f>
        <v/>
      </c>
      <c r="X9">
        <f>IF(W9&lt;&gt;"",W9+V9,"")</f>
        <v/>
      </c>
      <c r="Y9">
        <f>IF(X9&lt;&gt;"",IF(X9&lt;9,0,IF(X9&lt;=16,16,X9)),"")</f>
        <v/>
      </c>
      <c r="Z9">
        <f>IF(Y9&lt;&gt;"",Y9,"")</f>
        <v/>
      </c>
    </row>
    <row r="10">
      <c r="D10">
        <f>IF(C10&lt;&gt;"",VLOOKUP(C10,Tableau3[#All],2,0),"")</f>
        <v/>
      </c>
      <c r="F10">
        <f>IF(C10&lt;&gt;"","13","")</f>
        <v/>
      </c>
      <c r="M10">
        <f>IF(G10&lt;&gt;"",VLOOKUP(G10,'Caractéristique navire de pêche'!$B:$E,3,0),"")</f>
        <v/>
      </c>
      <c r="N10">
        <f>IF(G10&lt;&gt;"",VLOOKUP(G10,'[1]caractéristiques Navire de pêch'!$B:$E,2,0),"")</f>
        <v/>
      </c>
      <c r="O10">
        <f>IF(G10&lt;&gt;"",_xlfn.LET(_xlpm.te_reel,VLOOKUP(G10,Tableau13[[#All],[Nom du Navire ]:[Tirant d''eau (m)]],4,0),_xlpm.longueur,VLOOKUP(G10,Tableau13[[#All],[Nom du Navire ]:[Tirant d''eau (m)]],2,0),_xlpm.largeur,VLOOKUP(G10,Tableau13[[#All],[Nom du Navire ]:[Tirant d''eau (m)]],3,0),_xlpm.te_theorique,0.14*SQRT(_xlpm.longueur*_xlpm.largeur),IF(_xlpm.te_reel&gt;=_xlpm.te_theorique,_xlpm.te_reel,ROUND(_xlpm.te_theorique,2))),"")</f>
        <v/>
      </c>
      <c r="P10">
        <f>IF(AND(M10&lt;&gt;"",N10&lt;&gt;"",O10&lt;&gt;""),ROUNDUP(N10*M10*O10,0),"")</f>
        <v/>
      </c>
      <c r="Q10">
        <f>IF(B10&lt;&gt;"",IF(B10="Entrée",0.366,0.228),"")</f>
        <v/>
      </c>
      <c r="R10">
        <f>IF(AND(P10&lt;&gt;"",Q10&lt;&gt;""),ROUNDUP(P10*Q10,2),"")</f>
        <v/>
      </c>
      <c r="S10">
        <f>IF(AND(L10&lt;&gt;"",P10&lt;&gt;""),IF(L10/P10&gt;2/15,0,IF(L10/P10&gt;1/10,-0.1,IF(L10/P10&gt;1/20,-0.3,IF(L10/P10&gt;1/40,-0.5,IF(L10/P10&gt;1/100,-0.6,IF(L10/P10&gt;1/250,-0.7,IF(L10/P10&gt;1/500,-0.8,-0.95))))))),"")</f>
        <v/>
      </c>
      <c r="T10">
        <f t="array" ref="T10">IF(G10&lt;&gt;"",IF(COUNTIFS($G$2:G10,G10,$H$2:H10,"&gt;="&amp;DATE(YEAR(H10),1,1),$H$2:H10,"&lt;="&amp;DATE(YEAR(Q:QH10),12,31))&lt;=6,0,IF(COUNTIFS($G$2:G10,G10,$H$2:H10,"&gt;="&amp;DATE(YEAR(H10),1,1),$H$2:H10,"&lt;="&amp;DATE(YEAR(H10),12,31))&lt;=15,-0.1,IF(COUNTIFS($G$2:G10,G10,$H$2:H10,"&gt;="&amp;DATE(YEAR(H10),1,1),$H$2:H10,"&lt;="&amp;DATE(YEAR(H10),12,31))&lt;=30,-0.15,IF(COUNTIFS($G$2:G10,G10,$H$2:H10,"&gt;="&amp;DATE(YEAR(H10),1,1),$H$2:H10,"&lt;="&amp;DATE(YEAR(H10),12,31))&lt;=60,-0.2,IF(COUNTIFS($G$2:G10,G10,$H$2:H10,"&gt;="&amp;DATE(YEAR(H10),1,1),$H$2:H10,"&lt;="&amp;DATE(YEAR(H10),12,31))&lt;=120,-0.25,-0.3))))),"")</f>
        <v/>
      </c>
      <c r="U10">
        <f>IF(G10&lt;&gt;"",0,"")</f>
        <v/>
      </c>
      <c r="V10">
        <f>IF(AND(G10&lt;&gt;"",B10="Entrée"),65,"")</f>
        <v/>
      </c>
      <c r="W10">
        <f>IF(AND(R10&lt;&gt;"",S10&lt;&gt;""),ROUNDUP(R10*(1+S10),2),"")</f>
        <v/>
      </c>
      <c r="X10">
        <f>IF(W10&lt;&gt;"",W10+V10,"")</f>
        <v/>
      </c>
      <c r="Y10">
        <f>IF(X10&lt;&gt;"",IF(X10&lt;9,0,IF(X10&lt;=16,16,X10)),"")</f>
        <v/>
      </c>
      <c r="Z10">
        <f>IF(Y10&lt;&gt;"",Y10,"")</f>
        <v/>
      </c>
    </row>
    <row r="11">
      <c r="D11">
        <f>IF(C11&lt;&gt;"",VLOOKUP(C11,Tableau3[#All],2,0),"")</f>
        <v/>
      </c>
      <c r="F11">
        <f>IF(C11&lt;&gt;"","13","")</f>
        <v/>
      </c>
      <c r="M11">
        <f>IF(G11&lt;&gt;"",VLOOKUP(G11,'Caractéristique navire de pêche'!$B:$E,3,0),"")</f>
        <v/>
      </c>
      <c r="N11">
        <f>IF(G11&lt;&gt;"",VLOOKUP(G11,'[1]caractéristiques Navire de pêch'!$B:$E,2,0),"")</f>
        <v/>
      </c>
      <c r="O11">
        <f>IF(G11&lt;&gt;"",_xlfn.LET(_xlpm.te_reel,VLOOKUP(G11,Tableau13[[#All],[Nom du Navire ]:[Tirant d''eau (m)]],4,0),_xlpm.longueur,VLOOKUP(G11,Tableau13[[#All],[Nom du Navire ]:[Tirant d''eau (m)]],2,0),_xlpm.largeur,VLOOKUP(G11,Tableau13[[#All],[Nom du Navire ]:[Tirant d''eau (m)]],3,0),_xlpm.te_theorique,0.14*SQRT(_xlpm.longueur*_xlpm.largeur),IF(_xlpm.te_reel&gt;=_xlpm.te_theorique,_xlpm.te_reel,ROUND(_xlpm.te_theorique,2))),"")</f>
        <v/>
      </c>
      <c r="P11">
        <f>IF(AND(M11&lt;&gt;"",N11&lt;&gt;"",O11&lt;&gt;""),ROUNDUP(N11*M11*O11,0),"")</f>
        <v/>
      </c>
      <c r="Q11">
        <f>IF(B11&lt;&gt;"",IF(B11="Entrée",0.366,0.228),"")</f>
        <v/>
      </c>
      <c r="R11">
        <f>IF(AND(P11&lt;&gt;"",Q11&lt;&gt;""),ROUNDUP(P11*Q11,2),"")</f>
        <v/>
      </c>
      <c r="S11">
        <f>IF(AND(L11&lt;&gt;"",P11&lt;&gt;""),IF(L11/P11&gt;2/15,0,IF(L11/P11&gt;1/10,-0.1,IF(L11/P11&gt;1/20,-0.3,IF(L11/P11&gt;1/40,-0.5,IF(L11/P11&gt;1/100,-0.6,IF(L11/P11&gt;1/250,-0.7,IF(L11/P11&gt;1/500,-0.8,-0.95))))))),"")</f>
        <v/>
      </c>
      <c r="T11">
        <f t="array" ref="T11">IF(G11&lt;&gt;"",IF(COUNTIFS($G$2:G11,G11,$H$2:H11,"&gt;="&amp;DATE(YEAR(H11),1,1),$H$2:H11,"&lt;="&amp;DATE(YEAR(Q:QH11),12,31))&lt;=6,0,IF(COUNTIFS($G$2:G11,G11,$H$2:H11,"&gt;="&amp;DATE(YEAR(H11),1,1),$H$2:H11,"&lt;="&amp;DATE(YEAR(H11),12,31))&lt;=15,-0.1,IF(COUNTIFS($G$2:G11,G11,$H$2:H11,"&gt;="&amp;DATE(YEAR(H11),1,1),$H$2:H11,"&lt;="&amp;DATE(YEAR(H11),12,31))&lt;=30,-0.15,IF(COUNTIFS($G$2:G11,G11,$H$2:H11,"&gt;="&amp;DATE(YEAR(H11),1,1),$H$2:H11,"&lt;="&amp;DATE(YEAR(H11),12,31))&lt;=60,-0.2,IF(COUNTIFS($G$2:G11,G11,$H$2:H11,"&gt;="&amp;DATE(YEAR(H11),1,1),$H$2:H11,"&lt;="&amp;DATE(YEAR(H11),12,31))&lt;=120,-0.25,-0.3))))),"")</f>
        <v/>
      </c>
      <c r="U11">
        <f>IF(G11&lt;&gt;"",0,"")</f>
        <v/>
      </c>
      <c r="V11">
        <f>IF(AND(G11&lt;&gt;"",B11="Entrée"),65,"")</f>
        <v/>
      </c>
      <c r="W11">
        <f>IF(AND(R11&lt;&gt;"",S11&lt;&gt;""),ROUNDUP(R11*(1+S11),2),"")</f>
        <v/>
      </c>
      <c r="X11">
        <f>IF(W11&lt;&gt;"",W11+V11,"")</f>
        <v/>
      </c>
      <c r="Y11">
        <f>IF(X11&lt;&gt;"",IF(X11&lt;9,0,IF(X11&lt;=16,16,X11)),"")</f>
        <v/>
      </c>
      <c r="Z11">
        <f>IF(Y11&lt;&gt;"",Y11,"")</f>
        <v/>
      </c>
    </row>
    <row r="12">
      <c r="D12">
        <f>IF(C12&lt;&gt;"",VLOOKUP(C12,Tableau3[#All],2,0),"")</f>
        <v/>
      </c>
      <c r="F12">
        <f>IF(C12&lt;&gt;"","13","")</f>
        <v/>
      </c>
      <c r="M12">
        <f>IF(G12&lt;&gt;"",VLOOKUP(G12,'Caractéristique navire de pêche'!$B:$E,3,0),"")</f>
        <v/>
      </c>
      <c r="N12">
        <f>IF(G12&lt;&gt;"",VLOOKUP(G12,'[1]caractéristiques Navire de pêch'!$B:$E,2,0),"")</f>
        <v/>
      </c>
      <c r="O12">
        <f>IF(G12&lt;&gt;"",_xlfn.LET(_xlpm.te_reel,VLOOKUP(G12,Tableau13[[#All],[Nom du Navire ]:[Tirant d''eau (m)]],4,0),_xlpm.longueur,VLOOKUP(G12,Tableau13[[#All],[Nom du Navire ]:[Tirant d''eau (m)]],2,0),_xlpm.largeur,VLOOKUP(G12,Tableau13[[#All],[Nom du Navire ]:[Tirant d''eau (m)]],3,0),_xlpm.te_theorique,0.14*SQRT(_xlpm.longueur*_xlpm.largeur),IF(_xlpm.te_reel&gt;=_xlpm.te_theorique,_xlpm.te_reel,ROUND(_xlpm.te_theorique,2))),"")</f>
        <v/>
      </c>
      <c r="P12">
        <f>IF(AND(M12&lt;&gt;"",N12&lt;&gt;"",O12&lt;&gt;""),ROUNDUP(N12*M12*O12,0),"")</f>
        <v/>
      </c>
      <c r="Q12">
        <f>IF(B12&lt;&gt;"",IF(B12="Entrée",0.366,0.228),"")</f>
        <v/>
      </c>
      <c r="R12">
        <f>IF(AND(P12&lt;&gt;"",Q12&lt;&gt;""),ROUNDUP(P12*Q12,2),"")</f>
        <v/>
      </c>
      <c r="S12">
        <f>IF(AND(L12&lt;&gt;"",P12&lt;&gt;""),IF(L12/P12&gt;2/15,0,IF(L12/P12&gt;1/10,-0.1,IF(L12/P12&gt;1/20,-0.3,IF(L12/P12&gt;1/40,-0.5,IF(L12/P12&gt;1/100,-0.6,IF(L12/P12&gt;1/250,-0.7,IF(L12/P12&gt;1/500,-0.8,-0.95))))))),"")</f>
        <v/>
      </c>
      <c r="T12">
        <f t="array" ref="T12">IF(G12&lt;&gt;"",IF(COUNTIFS($G$2:G12,G12,$H$2:H12,"&gt;="&amp;DATE(YEAR(H12),1,1),$H$2:H12,"&lt;="&amp;DATE(YEAR(Q:QH12),12,31))&lt;=6,0,IF(COUNTIFS($G$2:G12,G12,$H$2:H12,"&gt;="&amp;DATE(YEAR(H12),1,1),$H$2:H12,"&lt;="&amp;DATE(YEAR(H12),12,31))&lt;=15,-0.1,IF(COUNTIFS($G$2:G12,G12,$H$2:H12,"&gt;="&amp;DATE(YEAR(H12),1,1),$H$2:H12,"&lt;="&amp;DATE(YEAR(H12),12,31))&lt;=30,-0.15,IF(COUNTIFS($G$2:G12,G12,$H$2:H12,"&gt;="&amp;DATE(YEAR(H12),1,1),$H$2:H12,"&lt;="&amp;DATE(YEAR(H12),12,31))&lt;=60,-0.2,IF(COUNTIFS($G$2:G12,G12,$H$2:H12,"&gt;="&amp;DATE(YEAR(H12),1,1),$H$2:H12,"&lt;="&amp;DATE(YEAR(H12),12,31))&lt;=120,-0.25,-0.3))))),"")</f>
        <v/>
      </c>
      <c r="U12">
        <f>IF(G12&lt;&gt;"",0,"")</f>
        <v/>
      </c>
      <c r="V12">
        <f>IF(AND(G12&lt;&gt;"",B12="Entrée"),65,"")</f>
        <v/>
      </c>
      <c r="W12">
        <f>IF(AND(R12&lt;&gt;"",S12&lt;&gt;""),ROUNDUP(R12*(1+S12),2),"")</f>
        <v/>
      </c>
      <c r="X12">
        <f>IF(W12&lt;&gt;"",W12+V12,"")</f>
        <v/>
      </c>
      <c r="Y12">
        <f>IF(X12&lt;&gt;"",IF(X12&lt;9,0,IF(X12&lt;=16,16,X12)),"")</f>
        <v/>
      </c>
      <c r="Z12">
        <f>IF(Y12&lt;&gt;"",Y12,"")</f>
        <v/>
      </c>
    </row>
    <row r="13">
      <c r="D13">
        <f>IF(C13&lt;&gt;"",VLOOKUP(C13,Tableau3[#All],2,0),"")</f>
        <v/>
      </c>
      <c r="F13">
        <f>IF(C13&lt;&gt;"","13","")</f>
        <v/>
      </c>
      <c r="M13">
        <f>IF(G13&lt;&gt;"",VLOOKUP(G13,'Caractéristique navire de pêche'!$B:$E,3,0),"")</f>
        <v/>
      </c>
      <c r="N13">
        <f>IF(G13&lt;&gt;"",VLOOKUP(G13,'[1]caractéristiques Navire de pêch'!$B:$E,2,0),"")</f>
        <v/>
      </c>
      <c r="O13">
        <f>IF(G13&lt;&gt;"",_xlfn.LET(_xlpm.te_reel,VLOOKUP(G13,Tableau13[[#All],[Nom du Navire ]:[Tirant d''eau (m)]],4,0),_xlpm.longueur,VLOOKUP(G13,Tableau13[[#All],[Nom du Navire ]:[Tirant d''eau (m)]],2,0),_xlpm.largeur,VLOOKUP(G13,Tableau13[[#All],[Nom du Navire ]:[Tirant d''eau (m)]],3,0),_xlpm.te_theorique,0.14*SQRT(_xlpm.longueur*_xlpm.largeur),IF(_xlpm.te_reel&gt;=_xlpm.te_theorique,_xlpm.te_reel,ROUND(_xlpm.te_theorique,2))),"")</f>
        <v/>
      </c>
      <c r="P13">
        <f>IF(AND(M13&lt;&gt;"",N13&lt;&gt;"",O13&lt;&gt;""),ROUNDUP(N13*M13*O13,0),"")</f>
        <v/>
      </c>
      <c r="Q13">
        <f>IF(B13&lt;&gt;"",IF(B13="Entrée",0.366,0.228),"")</f>
        <v/>
      </c>
      <c r="R13">
        <f>IF(AND(P13&lt;&gt;"",Q13&lt;&gt;""),ROUNDUP(P13*Q13,2),"")</f>
        <v/>
      </c>
      <c r="S13">
        <f>IF(AND(L13&lt;&gt;"",P13&lt;&gt;""),IF(L13/P13&gt;2/15,0,IF(L13/P13&gt;1/10,-0.1,IF(L13/P13&gt;1/20,-0.3,IF(L13/P13&gt;1/40,-0.5,IF(L13/P13&gt;1/100,-0.6,IF(L13/P13&gt;1/250,-0.7,IF(L13/P13&gt;1/500,-0.8,-0.95))))))),"")</f>
        <v/>
      </c>
      <c r="T13">
        <f t="array" ref="T13">IF(G13&lt;&gt;"",IF(COUNTIFS($G$2:G13,G13,$H$2:H13,"&gt;="&amp;DATE(YEAR(H13),1,1),$H$2:H13,"&lt;="&amp;DATE(YEAR(Q:QH13),12,31))&lt;=6,0,IF(COUNTIFS($G$2:G13,G13,$H$2:H13,"&gt;="&amp;DATE(YEAR(H13),1,1),$H$2:H13,"&lt;="&amp;DATE(YEAR(H13),12,31))&lt;=15,-0.1,IF(COUNTIFS($G$2:G13,G13,$H$2:H13,"&gt;="&amp;DATE(YEAR(H13),1,1),$H$2:H13,"&lt;="&amp;DATE(YEAR(H13),12,31))&lt;=30,-0.15,IF(COUNTIFS($G$2:G13,G13,$H$2:H13,"&gt;="&amp;DATE(YEAR(H13),1,1),$H$2:H13,"&lt;="&amp;DATE(YEAR(H13),12,31))&lt;=60,-0.2,IF(COUNTIFS($G$2:G13,G13,$H$2:H13,"&gt;="&amp;DATE(YEAR(H13),1,1),$H$2:H13,"&lt;="&amp;DATE(YEAR(H13),12,31))&lt;=120,-0.25,-0.3))))),"")</f>
        <v/>
      </c>
      <c r="U13">
        <f>IF(G13&lt;&gt;"",0,"")</f>
        <v/>
      </c>
      <c r="V13">
        <f>IF(AND(G13&lt;&gt;"",B13="Entrée"),65,"")</f>
        <v/>
      </c>
      <c r="W13">
        <f>IF(AND(R13&lt;&gt;"",S13&lt;&gt;""),ROUNDUP(R13*(1+S13),2),"")</f>
        <v/>
      </c>
      <c r="X13">
        <f>IF(W13&lt;&gt;"",W13+V13,"")</f>
        <v/>
      </c>
      <c r="Y13">
        <f>IF(X13&lt;&gt;"",IF(X13&lt;9,0,IF(X13&lt;=16,16,X13)),"")</f>
        <v/>
      </c>
      <c r="Z13">
        <f>IF(Y13&lt;&gt;"",Y13,"")</f>
        <v/>
      </c>
    </row>
    <row r="14">
      <c r="D14">
        <f>IF(C14&lt;&gt;"",VLOOKUP(C14,Tableau3[#All],2,0),"")</f>
        <v/>
      </c>
      <c r="F14">
        <f>IF(C14&lt;&gt;"","13","")</f>
        <v/>
      </c>
      <c r="M14">
        <f>IF(G14&lt;&gt;"",VLOOKUP(G14,'Caractéristique navire de pêche'!$B:$E,3,0),"")</f>
        <v/>
      </c>
      <c r="N14">
        <f>IF(G14&lt;&gt;"",VLOOKUP(G14,'[1]caractéristiques Navire de pêch'!$B:$E,2,0),"")</f>
        <v/>
      </c>
      <c r="O14">
        <f>IF(G14&lt;&gt;"",_xlfn.LET(_xlpm.te_reel,VLOOKUP(G14,Tableau13[[#All],[Nom du Navire ]:[Tirant d''eau (m)]],4,0),_xlpm.longueur,VLOOKUP(G14,Tableau13[[#All],[Nom du Navire ]:[Tirant d''eau (m)]],2,0),_xlpm.largeur,VLOOKUP(G14,Tableau13[[#All],[Nom du Navire ]:[Tirant d''eau (m)]],3,0),_xlpm.te_theorique,0.14*SQRT(_xlpm.longueur*_xlpm.largeur),IF(_xlpm.te_reel&gt;=_xlpm.te_theorique,_xlpm.te_reel,ROUND(_xlpm.te_theorique,2))),"")</f>
        <v/>
      </c>
      <c r="P14">
        <f>IF(AND(M14&lt;&gt;"",N14&lt;&gt;"",O14&lt;&gt;""),ROUNDUP(N14*M14*O14,0),"")</f>
        <v/>
      </c>
      <c r="Q14">
        <f>IF(B14&lt;&gt;"",IF(B14="Entrée",0.366,0.228),"")</f>
        <v/>
      </c>
      <c r="R14">
        <f>IF(AND(P14&lt;&gt;"",Q14&lt;&gt;""),ROUNDUP(P14*Q14,2),"")</f>
        <v/>
      </c>
      <c r="S14">
        <f>IF(AND(L14&lt;&gt;"",P14&lt;&gt;""),IF(L14/P14&gt;2/15,0,IF(L14/P14&gt;1/10,-0.1,IF(L14/P14&gt;1/20,-0.3,IF(L14/P14&gt;1/40,-0.5,IF(L14/P14&gt;1/100,-0.6,IF(L14/P14&gt;1/250,-0.7,IF(L14/P14&gt;1/500,-0.8,-0.95))))))),"")</f>
        <v/>
      </c>
      <c r="T14">
        <f t="array" ref="T14">IF(G14&lt;&gt;"",IF(COUNTIFS($G$2:G14,G14,$H$2:H14,"&gt;="&amp;DATE(YEAR(H14),1,1),$H$2:H14,"&lt;="&amp;DATE(YEAR(Q:QH14),12,31))&lt;=6,0,IF(COUNTIFS($G$2:G14,G14,$H$2:H14,"&gt;="&amp;DATE(YEAR(H14),1,1),$H$2:H14,"&lt;="&amp;DATE(YEAR(H14),12,31))&lt;=15,-0.1,IF(COUNTIFS($G$2:G14,G14,$H$2:H14,"&gt;="&amp;DATE(YEAR(H14),1,1),$H$2:H14,"&lt;="&amp;DATE(YEAR(H14),12,31))&lt;=30,-0.15,IF(COUNTIFS($G$2:G14,G14,$H$2:H14,"&gt;="&amp;DATE(YEAR(H14),1,1),$H$2:H14,"&lt;="&amp;DATE(YEAR(H14),12,31))&lt;=60,-0.2,IF(COUNTIFS($G$2:G14,G14,$H$2:H14,"&gt;="&amp;DATE(YEAR(H14),1,1),$H$2:H14,"&lt;="&amp;DATE(YEAR(H14),12,31))&lt;=120,-0.25,-0.3))))),"")</f>
        <v/>
      </c>
      <c r="U14">
        <f>IF(G14&lt;&gt;"",0,"")</f>
        <v/>
      </c>
      <c r="V14">
        <f>IF(AND(G14&lt;&gt;"",B14="Entrée"),65,"")</f>
        <v/>
      </c>
      <c r="W14">
        <f>IF(AND(R14&lt;&gt;"",S14&lt;&gt;""),ROUNDUP(R14*(1+S14),2),"")</f>
        <v/>
      </c>
      <c r="X14">
        <f>IF(W14&lt;&gt;"",W14+V14,"")</f>
        <v/>
      </c>
      <c r="Y14">
        <f>IF(X14&lt;&gt;"",IF(X14&lt;9,0,IF(X14&lt;=16,16,X14)),"")</f>
        <v/>
      </c>
      <c r="Z14">
        <f>IF(Y14&lt;&gt;"",Y14,"")</f>
        <v/>
      </c>
    </row>
    <row r="15">
      <c r="D15">
        <f>IF(C15&lt;&gt;"",VLOOKUP(C15,Tableau3[#All],2,0),"")</f>
        <v/>
      </c>
      <c r="F15">
        <f>IF(C15&lt;&gt;"","13","")</f>
        <v/>
      </c>
      <c r="M15">
        <f>IF(G15&lt;&gt;"",VLOOKUP(G15,'Caractéristique navire de pêche'!$B:$E,3,0),"")</f>
        <v/>
      </c>
      <c r="N15">
        <f>IF(G15&lt;&gt;"",VLOOKUP(G15,'[1]caractéristiques Navire de pêch'!$B:$E,2,0),"")</f>
        <v/>
      </c>
      <c r="O15">
        <f>IF(G15&lt;&gt;"",_xlfn.LET(_xlpm.te_reel,VLOOKUP(G15,Tableau13[[#All],[Nom du Navire ]:[Tirant d''eau (m)]],4,0),_xlpm.longueur,VLOOKUP(G15,Tableau13[[#All],[Nom du Navire ]:[Tirant d''eau (m)]],2,0),_xlpm.largeur,VLOOKUP(G15,Tableau13[[#All],[Nom du Navire ]:[Tirant d''eau (m)]],3,0),_xlpm.te_theorique,0.14*SQRT(_xlpm.longueur*_xlpm.largeur),IF(_xlpm.te_reel&gt;=_xlpm.te_theorique,_xlpm.te_reel,ROUND(_xlpm.te_theorique,2))),"")</f>
        <v/>
      </c>
      <c r="P15">
        <f>IF(AND(M15&lt;&gt;"",N15&lt;&gt;"",O15&lt;&gt;""),ROUNDUP(N15*M15*O15,0),"")</f>
        <v/>
      </c>
      <c r="Q15">
        <f>IF(B15&lt;&gt;"",IF(B15="Entrée",0.366,0.228),"")</f>
        <v/>
      </c>
      <c r="R15">
        <f>IF(AND(P15&lt;&gt;"",Q15&lt;&gt;""),ROUNDUP(P15*Q15,2),"")</f>
        <v/>
      </c>
      <c r="S15">
        <f>IF(AND(L15&lt;&gt;"",P15&lt;&gt;""),IF(L15/P15&gt;2/15,0,IF(L15/P15&gt;1/10,-0.1,IF(L15/P15&gt;1/20,-0.3,IF(L15/P15&gt;1/40,-0.5,IF(L15/P15&gt;1/100,-0.6,IF(L15/P15&gt;1/250,-0.7,IF(L15/P15&gt;1/500,-0.8,-0.95))))))),"")</f>
        <v/>
      </c>
      <c r="T15">
        <f t="array" ref="T15">IF(G15&lt;&gt;"",IF(COUNTIFS($G$2:G15,G15,$H$2:H15,"&gt;="&amp;DATE(YEAR(H15),1,1),$H$2:H15,"&lt;="&amp;DATE(YEAR(Q:QH15),12,31))&lt;=6,0,IF(COUNTIFS($G$2:G15,G15,$H$2:H15,"&gt;="&amp;DATE(YEAR(H15),1,1),$H$2:H15,"&lt;="&amp;DATE(YEAR(H15),12,31))&lt;=15,-0.1,IF(COUNTIFS($G$2:G15,G15,$H$2:H15,"&gt;="&amp;DATE(YEAR(H15),1,1),$H$2:H15,"&lt;="&amp;DATE(YEAR(H15),12,31))&lt;=30,-0.15,IF(COUNTIFS($G$2:G15,G15,$H$2:H15,"&gt;="&amp;DATE(YEAR(H15),1,1),$H$2:H15,"&lt;="&amp;DATE(YEAR(H15),12,31))&lt;=60,-0.2,IF(COUNTIFS($G$2:G15,G15,$H$2:H15,"&gt;="&amp;DATE(YEAR(H15),1,1),$H$2:H15,"&lt;="&amp;DATE(YEAR(H15),12,31))&lt;=120,-0.25,-0.3))))),"")</f>
        <v/>
      </c>
      <c r="U15">
        <f>IF(G15&lt;&gt;"",0,"")</f>
        <v/>
      </c>
      <c r="V15">
        <f>IF(AND(G15&lt;&gt;"",B15="Entrée"),65,"")</f>
        <v/>
      </c>
      <c r="W15">
        <f>IF(AND(R15&lt;&gt;"",S15&lt;&gt;""),ROUNDUP(R15*(1+S15),2),"")</f>
        <v/>
      </c>
      <c r="X15">
        <f>IF(W15&lt;&gt;"",W15+V15,"")</f>
        <v/>
      </c>
      <c r="Y15">
        <f>IF(X15&lt;&gt;"",IF(X15&lt;9,0,IF(X15&lt;=16,16,X15)),"")</f>
        <v/>
      </c>
      <c r="Z15">
        <f>IF(Y15&lt;&gt;"",Y15,"")</f>
        <v/>
      </c>
    </row>
    <row r="16">
      <c r="D16">
        <f>IF(C16&lt;&gt;"",VLOOKUP(C16,Tableau3[#All],2,0),"")</f>
        <v/>
      </c>
      <c r="F16">
        <f>IF(C16&lt;&gt;"","13","")</f>
        <v/>
      </c>
      <c r="M16">
        <f>IF(G16&lt;&gt;"",VLOOKUP(G16,'Caractéristique navire de pêche'!$B:$E,3,0),"")</f>
        <v/>
      </c>
      <c r="N16">
        <f>IF(G16&lt;&gt;"",VLOOKUP(G16,'[1]caractéristiques Navire de pêch'!$B:$E,2,0),"")</f>
        <v/>
      </c>
      <c r="O16">
        <f>IF(G16&lt;&gt;"",_xlfn.LET(_xlpm.te_reel,VLOOKUP(G16,Tableau13[[#All],[Nom du Navire ]:[Tirant d''eau (m)]],4,0),_xlpm.longueur,VLOOKUP(G16,Tableau13[[#All],[Nom du Navire ]:[Tirant d''eau (m)]],2,0),_xlpm.largeur,VLOOKUP(G16,Tableau13[[#All],[Nom du Navire ]:[Tirant d''eau (m)]],3,0),_xlpm.te_theorique,0.14*SQRT(_xlpm.longueur*_xlpm.largeur),IF(_xlpm.te_reel&gt;=_xlpm.te_theorique,_xlpm.te_reel,ROUND(_xlpm.te_theorique,2))),"")</f>
        <v/>
      </c>
      <c r="P16">
        <f>IF(AND(M16&lt;&gt;"",N16&lt;&gt;"",O16&lt;&gt;""),ROUNDUP(N16*M16*O16,0),"")</f>
        <v/>
      </c>
      <c r="Q16">
        <f>IF(B16&lt;&gt;"",IF(B16="Entrée",0.366,0.228),"")</f>
        <v/>
      </c>
      <c r="R16">
        <f>IF(AND(P16&lt;&gt;"",Q16&lt;&gt;""),ROUNDUP(P16*Q16,2),"")</f>
        <v/>
      </c>
      <c r="S16">
        <f>IF(AND(L16&lt;&gt;"",P16&lt;&gt;""),IF(L16/P16&gt;2/15,0,IF(L16/P16&gt;1/10,-0.1,IF(L16/P16&gt;1/20,-0.3,IF(L16/P16&gt;1/40,-0.5,IF(L16/P16&gt;1/100,-0.6,IF(L16/P16&gt;1/250,-0.7,IF(L16/P16&gt;1/500,-0.8,-0.95))))))),"")</f>
        <v/>
      </c>
      <c r="T16">
        <f t="array" ref="T16">IF(G16&lt;&gt;"",IF(COUNTIFS($G$2:G16,G16,$H$2:H16,"&gt;="&amp;DATE(YEAR(H16),1,1),$H$2:H16,"&lt;="&amp;DATE(YEAR(Q:QH16),12,31))&lt;=6,0,IF(COUNTIFS($G$2:G16,G16,$H$2:H16,"&gt;="&amp;DATE(YEAR(H16),1,1),$H$2:H16,"&lt;="&amp;DATE(YEAR(H16),12,31))&lt;=15,-0.1,IF(COUNTIFS($G$2:G16,G16,$H$2:H16,"&gt;="&amp;DATE(YEAR(H16),1,1),$H$2:H16,"&lt;="&amp;DATE(YEAR(H16),12,31))&lt;=30,-0.15,IF(COUNTIFS($G$2:G16,G16,$H$2:H16,"&gt;="&amp;DATE(YEAR(H16),1,1),$H$2:H16,"&lt;="&amp;DATE(YEAR(H16),12,31))&lt;=60,-0.2,IF(COUNTIFS($G$2:G16,G16,$H$2:H16,"&gt;="&amp;DATE(YEAR(H16),1,1),$H$2:H16,"&lt;="&amp;DATE(YEAR(H16),12,31))&lt;=120,-0.25,-0.3))))),"")</f>
        <v/>
      </c>
      <c r="U16">
        <f>IF(G16&lt;&gt;"",0,"")</f>
        <v/>
      </c>
      <c r="V16">
        <f>IF(AND(G16&lt;&gt;"",B16="Entrée"),65,"")</f>
        <v/>
      </c>
      <c r="W16">
        <f>IF(AND(R16&lt;&gt;"",S16&lt;&gt;""),ROUNDUP(R16*(1+S16),2),"")</f>
        <v/>
      </c>
      <c r="X16">
        <f>IF(W16&lt;&gt;"",W16+V16,"")</f>
        <v/>
      </c>
      <c r="Y16">
        <f>IF(X16&lt;&gt;"",IF(X16&lt;9,0,IF(X16&lt;=16,16,X16)),"")</f>
        <v/>
      </c>
      <c r="Z16">
        <f>IF(Y16&lt;&gt;"",Y16,"")</f>
        <v/>
      </c>
    </row>
    <row r="17">
      <c r="D17">
        <f>IF(C17&lt;&gt;"",VLOOKUP(C17,Tableau3[#All],2,0),"")</f>
        <v/>
      </c>
      <c r="F17">
        <f>IF(C17&lt;&gt;"","13","")</f>
        <v/>
      </c>
      <c r="M17">
        <f>IF(G17&lt;&gt;"",VLOOKUP(G17,'Caractéristique navire de pêche'!$B:$E,3,0),"")</f>
        <v/>
      </c>
      <c r="N17">
        <f>IF(G17&lt;&gt;"",VLOOKUP(G17,'[1]caractéristiques Navire de pêch'!$B:$E,2,0),"")</f>
        <v/>
      </c>
      <c r="O17">
        <f>IF(G17&lt;&gt;"",_xlfn.LET(_xlpm.te_reel,VLOOKUP(G17,Tableau13[[#All],[Nom du Navire ]:[Tirant d''eau (m)]],4,0),_xlpm.longueur,VLOOKUP(G17,Tableau13[[#All],[Nom du Navire ]:[Tirant d''eau (m)]],2,0),_xlpm.largeur,VLOOKUP(G17,Tableau13[[#All],[Nom du Navire ]:[Tirant d''eau (m)]],3,0),_xlpm.te_theorique,0.14*SQRT(_xlpm.longueur*_xlpm.largeur),IF(_xlpm.te_reel&gt;=_xlpm.te_theorique,_xlpm.te_reel,ROUND(_xlpm.te_theorique,2))),"")</f>
        <v/>
      </c>
      <c r="P17">
        <f>IF(AND(M17&lt;&gt;"",N17&lt;&gt;"",O17&lt;&gt;""),ROUNDUP(N17*M17*O17,0),"")</f>
        <v/>
      </c>
      <c r="Q17">
        <f>IF(B17&lt;&gt;"",IF(B17="Entrée",0.366,0.228),"")</f>
        <v/>
      </c>
      <c r="R17">
        <f>IF(AND(P17&lt;&gt;"",Q17&lt;&gt;""),ROUNDUP(P17*Q17,2),"")</f>
        <v/>
      </c>
      <c r="S17">
        <f>IF(AND(L17&lt;&gt;"",P17&lt;&gt;""),IF(L17/P17&gt;2/15,0,IF(L17/P17&gt;1/10,-0.1,IF(L17/P17&gt;1/20,-0.3,IF(L17/P17&gt;1/40,-0.5,IF(L17/P17&gt;1/100,-0.6,IF(L17/P17&gt;1/250,-0.7,IF(L17/P17&gt;1/500,-0.8,-0.95))))))),"")</f>
        <v/>
      </c>
      <c r="T17">
        <f t="array" ref="T17">IF(G17&lt;&gt;"",IF(COUNTIFS($G$2:G17,G17,$H$2:H17,"&gt;="&amp;DATE(YEAR(H17),1,1),$H$2:H17,"&lt;="&amp;DATE(YEAR(Q:QH17),12,31))&lt;=6,0,IF(COUNTIFS($G$2:G17,G17,$H$2:H17,"&gt;="&amp;DATE(YEAR(H17),1,1),$H$2:H17,"&lt;="&amp;DATE(YEAR(H17),12,31))&lt;=15,-0.1,IF(COUNTIFS($G$2:G17,G17,$H$2:H17,"&gt;="&amp;DATE(YEAR(H17),1,1),$H$2:H17,"&lt;="&amp;DATE(YEAR(H17),12,31))&lt;=30,-0.15,IF(COUNTIFS($G$2:G17,G17,$H$2:H17,"&gt;="&amp;DATE(YEAR(H17),1,1),$H$2:H17,"&lt;="&amp;DATE(YEAR(H17),12,31))&lt;=60,-0.2,IF(COUNTIFS($G$2:G17,G17,$H$2:H17,"&gt;="&amp;DATE(YEAR(H17),1,1),$H$2:H17,"&lt;="&amp;DATE(YEAR(H17),12,31))&lt;=120,-0.25,-0.3))))),"")</f>
        <v/>
      </c>
      <c r="U17">
        <f>IF(G17&lt;&gt;"",0,"")</f>
        <v/>
      </c>
      <c r="V17">
        <f>IF(AND(G17&lt;&gt;"",B17="Entrée"),65,"")</f>
        <v/>
      </c>
      <c r="W17">
        <f>IF(AND(R17&lt;&gt;"",S17&lt;&gt;""),ROUNDUP(R17*(1+S17),2),"")</f>
        <v/>
      </c>
      <c r="X17">
        <f>IF(W17&lt;&gt;"",W17+V17,"")</f>
        <v/>
      </c>
      <c r="Y17">
        <f>IF(X17&lt;&gt;"",IF(X17&lt;9,0,IF(X17&lt;=16,16,X17)),"")</f>
        <v/>
      </c>
      <c r="Z17">
        <f>IF(Y17&lt;&gt;"",Y17,"")</f>
        <v/>
      </c>
    </row>
    <row r="18">
      <c r="D18">
        <f>IF(C18&lt;&gt;"",VLOOKUP(C18,Tableau3[#All],2,0),"")</f>
        <v/>
      </c>
      <c r="F18">
        <f>IF(C18&lt;&gt;"","13","")</f>
        <v/>
      </c>
      <c r="M18">
        <f>IF(G18&lt;&gt;"",VLOOKUP(G18,'Caractéristique navire de pêche'!$B:$E,3,0),"")</f>
        <v/>
      </c>
      <c r="N18">
        <f>IF(G18&lt;&gt;"",VLOOKUP(G18,'[1]caractéristiques Navire de pêch'!$B:$E,2,0),"")</f>
        <v/>
      </c>
      <c r="O18">
        <f>IF(G18&lt;&gt;"",_xlfn.LET(_xlpm.te_reel,VLOOKUP(G18,Tableau13[[#All],[Nom du Navire ]:[Tirant d''eau (m)]],4,0),_xlpm.longueur,VLOOKUP(G18,Tableau13[[#All],[Nom du Navire ]:[Tirant d''eau (m)]],2,0),_xlpm.largeur,VLOOKUP(G18,Tableau13[[#All],[Nom du Navire ]:[Tirant d''eau (m)]],3,0),_xlpm.te_theorique,0.14*SQRT(_xlpm.longueur*_xlpm.largeur),IF(_xlpm.te_reel&gt;=_xlpm.te_theorique,_xlpm.te_reel,ROUND(_xlpm.te_theorique,2))),"")</f>
        <v/>
      </c>
      <c r="P18">
        <f>IF(AND(M18&lt;&gt;"",N18&lt;&gt;"",O18&lt;&gt;""),ROUNDUP(N18*M18*O18,0),"")</f>
        <v/>
      </c>
      <c r="Q18">
        <f>IF(B18&lt;&gt;"",IF(B18="Entrée",0.366,0.228),"")</f>
        <v/>
      </c>
      <c r="R18">
        <f>IF(AND(P18&lt;&gt;"",Q18&lt;&gt;""),ROUNDUP(P18*Q18,2),"")</f>
        <v/>
      </c>
      <c r="S18">
        <f>IF(AND(L18&lt;&gt;"",P18&lt;&gt;""),IF(L18/P18&gt;2/15,0,IF(L18/P18&gt;1/10,-0.1,IF(L18/P18&gt;1/20,-0.3,IF(L18/P18&gt;1/40,-0.5,IF(L18/P18&gt;1/100,-0.6,IF(L18/P18&gt;1/250,-0.7,IF(L18/P18&gt;1/500,-0.8,-0.95))))))),"")</f>
        <v/>
      </c>
      <c r="T18">
        <f t="array" ref="T18">IF(G18&lt;&gt;"",IF(COUNTIFS($G$2:G18,G18,$H$2:H18,"&gt;="&amp;DATE(YEAR(H18),1,1),$H$2:H18,"&lt;="&amp;DATE(YEAR(Q:QH18),12,31))&lt;=6,0,IF(COUNTIFS($G$2:G18,G18,$H$2:H18,"&gt;="&amp;DATE(YEAR(H18),1,1),$H$2:H18,"&lt;="&amp;DATE(YEAR(H18),12,31))&lt;=15,-0.1,IF(COUNTIFS($G$2:G18,G18,$H$2:H18,"&gt;="&amp;DATE(YEAR(H18),1,1),$H$2:H18,"&lt;="&amp;DATE(YEAR(H18),12,31))&lt;=30,-0.15,IF(COUNTIFS($G$2:G18,G18,$H$2:H18,"&gt;="&amp;DATE(YEAR(H18),1,1),$H$2:H18,"&lt;="&amp;DATE(YEAR(H18),12,31))&lt;=60,-0.2,IF(COUNTIFS($G$2:G18,G18,$H$2:H18,"&gt;="&amp;DATE(YEAR(H18),1,1),$H$2:H18,"&lt;="&amp;DATE(YEAR(H18),12,31))&lt;=120,-0.25,-0.3))))),"")</f>
        <v/>
      </c>
      <c r="U18">
        <f>IF(G18&lt;&gt;"",0,"")</f>
        <v/>
      </c>
      <c r="V18">
        <f>IF(AND(G18&lt;&gt;"",B18="Entrée"),65,"")</f>
        <v/>
      </c>
      <c r="W18">
        <f>IF(AND(R18&lt;&gt;"",S18&lt;&gt;""),ROUNDUP(R18*(1+S18),2),"")</f>
        <v/>
      </c>
      <c r="X18">
        <f>IF(W18&lt;&gt;"",W18+V18,"")</f>
        <v/>
      </c>
      <c r="Y18">
        <f>IF(X18&lt;&gt;"",IF(X18&lt;9,0,IF(X18&lt;=16,16,X18)),"")</f>
        <v/>
      </c>
      <c r="Z18">
        <f>IF(Y18&lt;&gt;"",Y18,"")</f>
        <v/>
      </c>
    </row>
    <row r="19">
      <c r="D19">
        <f>IF(C19&lt;&gt;"",VLOOKUP(C19,Tableau3[#All],2,0),"")</f>
        <v/>
      </c>
      <c r="F19">
        <f>IF(C19&lt;&gt;"","13","")</f>
        <v/>
      </c>
      <c r="M19">
        <f>IF(G19&lt;&gt;"",VLOOKUP(G19,'Caractéristique navire de pêche'!$B:$E,3,0),"")</f>
        <v/>
      </c>
      <c r="N19">
        <f>IF(G19&lt;&gt;"",VLOOKUP(G19,'[1]caractéristiques Navire de pêch'!$B:$E,2,0),"")</f>
        <v/>
      </c>
      <c r="O19">
        <f>IF(G19&lt;&gt;"",_xlfn.LET(_xlpm.te_reel,VLOOKUP(G19,Tableau13[[#All],[Nom du Navire ]:[Tirant d''eau (m)]],4,0),_xlpm.longueur,VLOOKUP(G19,Tableau13[[#All],[Nom du Navire ]:[Tirant d''eau (m)]],2,0),_xlpm.largeur,VLOOKUP(G19,Tableau13[[#All],[Nom du Navire ]:[Tirant d''eau (m)]],3,0),_xlpm.te_theorique,0.14*SQRT(_xlpm.longueur*_xlpm.largeur),IF(_xlpm.te_reel&gt;=_xlpm.te_theorique,_xlpm.te_reel,ROUND(_xlpm.te_theorique,2))),"")</f>
        <v/>
      </c>
      <c r="P19">
        <f>IF(AND(M19&lt;&gt;"",N19&lt;&gt;"",O19&lt;&gt;""),ROUNDUP(N19*M19*O19,0),"")</f>
        <v/>
      </c>
      <c r="Q19">
        <f>IF(B19&lt;&gt;"",IF(B19="Entrée",0.366,0.228),"")</f>
        <v/>
      </c>
      <c r="R19">
        <f>IF(AND(P19&lt;&gt;"",Q19&lt;&gt;""),ROUNDUP(P19*Q19,2),"")</f>
        <v/>
      </c>
      <c r="S19">
        <f>IF(AND(L19&lt;&gt;"",P19&lt;&gt;""),IF(L19/P19&gt;2/15,0,IF(L19/P19&gt;1/10,-0.1,IF(L19/P19&gt;1/20,-0.3,IF(L19/P19&gt;1/40,-0.5,IF(L19/P19&gt;1/100,-0.6,IF(L19/P19&gt;1/250,-0.7,IF(L19/P19&gt;1/500,-0.8,-0.95))))))),"")</f>
        <v/>
      </c>
      <c r="T19">
        <f t="array" ref="T19">IF(G19&lt;&gt;"",IF(COUNTIFS($G$2:G19,G19,$H$2:H19,"&gt;="&amp;DATE(YEAR(H19),1,1),$H$2:H19,"&lt;="&amp;DATE(YEAR(Q:QH19),12,31))&lt;=6,0,IF(COUNTIFS($G$2:G19,G19,$H$2:H19,"&gt;="&amp;DATE(YEAR(H19),1,1),$H$2:H19,"&lt;="&amp;DATE(YEAR(H19),12,31))&lt;=15,-0.1,IF(COUNTIFS($G$2:G19,G19,$H$2:H19,"&gt;="&amp;DATE(YEAR(H19),1,1),$H$2:H19,"&lt;="&amp;DATE(YEAR(H19),12,31))&lt;=30,-0.15,IF(COUNTIFS($G$2:G19,G19,$H$2:H19,"&gt;="&amp;DATE(YEAR(H19),1,1),$H$2:H19,"&lt;="&amp;DATE(YEAR(H19),12,31))&lt;=60,-0.2,IF(COUNTIFS($G$2:G19,G19,$H$2:H19,"&gt;="&amp;DATE(YEAR(H19),1,1),$H$2:H19,"&lt;="&amp;DATE(YEAR(H19),12,31))&lt;=120,-0.25,-0.3))))),"")</f>
        <v/>
      </c>
      <c r="U19">
        <f>IF(G19&lt;&gt;"",0,"")</f>
        <v/>
      </c>
      <c r="V19">
        <f>IF(AND(G19&lt;&gt;"",B19="Entrée"),65,"")</f>
        <v/>
      </c>
      <c r="W19">
        <f>IF(AND(R19&lt;&gt;"",S19&lt;&gt;""),ROUNDUP(R19*(1+S19),2),"")</f>
        <v/>
      </c>
      <c r="X19">
        <f>IF(W19&lt;&gt;"",W19+V19,"")</f>
        <v/>
      </c>
      <c r="Y19">
        <f>IF(X19&lt;&gt;"",IF(X19&lt;9,0,IF(X19&lt;=16,16,X19)),"")</f>
        <v/>
      </c>
      <c r="Z19">
        <f>IF(Y19&lt;&gt;"",Y19,"")</f>
        <v/>
      </c>
    </row>
    <row r="20">
      <c r="D20">
        <f>IF(C20&lt;&gt;"",VLOOKUP(C20,Tableau3[#All],2,0),"")</f>
        <v/>
      </c>
      <c r="F20">
        <f>IF(C20&lt;&gt;"","13","")</f>
        <v/>
      </c>
      <c r="M20">
        <f>IF(G20&lt;&gt;"",VLOOKUP(G20,'Caractéristique navire de pêche'!$B:$E,3,0),"")</f>
        <v/>
      </c>
      <c r="N20">
        <f>IF(G20&lt;&gt;"",VLOOKUP(G20,'[1]caractéristiques Navire de pêch'!$B:$E,2,0),"")</f>
        <v/>
      </c>
      <c r="O20">
        <f>IF(G20&lt;&gt;"",_xlfn.LET(_xlpm.te_reel,VLOOKUP(G20,Tableau13[[#All],[Nom du Navire ]:[Tirant d''eau (m)]],4,0),_xlpm.longueur,VLOOKUP(G20,Tableau13[[#All],[Nom du Navire ]:[Tirant d''eau (m)]],2,0),_xlpm.largeur,VLOOKUP(G20,Tableau13[[#All],[Nom du Navire ]:[Tirant d''eau (m)]],3,0),_xlpm.te_theorique,0.14*SQRT(_xlpm.longueur*_xlpm.largeur),IF(_xlpm.te_reel&gt;=_xlpm.te_theorique,_xlpm.te_reel,ROUND(_xlpm.te_theorique,2))),"")</f>
        <v/>
      </c>
      <c r="P20">
        <f>IF(AND(M20&lt;&gt;"",N20&lt;&gt;"",O20&lt;&gt;""),ROUNDUP(N20*M20*O20,0),"")</f>
        <v/>
      </c>
      <c r="Q20">
        <f>IF(B20&lt;&gt;"",IF(B20="Entrée",0.366,0.228),"")</f>
        <v/>
      </c>
      <c r="R20">
        <f>IF(AND(P20&lt;&gt;"",Q20&lt;&gt;""),ROUNDUP(P20*Q20,2),"")</f>
        <v/>
      </c>
      <c r="S20">
        <f>IF(AND(L20&lt;&gt;"",P20&lt;&gt;""),IF(L20/P20&gt;2/15,0,IF(L20/P20&gt;1/10,-0.1,IF(L20/P20&gt;1/20,-0.3,IF(L20/P20&gt;1/40,-0.5,IF(L20/P20&gt;1/100,-0.6,IF(L20/P20&gt;1/250,-0.7,IF(L20/P20&gt;1/500,-0.8,-0.95))))))),"")</f>
        <v/>
      </c>
      <c r="T20">
        <f t="array" ref="T20">IF(G20&lt;&gt;"",IF(COUNTIFS($G$2:G20,G20,$H$2:H20,"&gt;="&amp;DATE(YEAR(H20),1,1),$H$2:H20,"&lt;="&amp;DATE(YEAR(Q:QH20),12,31))&lt;=6,0,IF(COUNTIFS($G$2:G20,G20,$H$2:H20,"&gt;="&amp;DATE(YEAR(H20),1,1),$H$2:H20,"&lt;="&amp;DATE(YEAR(H20),12,31))&lt;=15,-0.1,IF(COUNTIFS($G$2:G20,G20,$H$2:H20,"&gt;="&amp;DATE(YEAR(H20),1,1),$H$2:H20,"&lt;="&amp;DATE(YEAR(H20),12,31))&lt;=30,-0.15,IF(COUNTIFS($G$2:G20,G20,$H$2:H20,"&gt;="&amp;DATE(YEAR(H20),1,1),$H$2:H20,"&lt;="&amp;DATE(YEAR(H20),12,31))&lt;=60,-0.2,IF(COUNTIFS($G$2:G20,G20,$H$2:H20,"&gt;="&amp;DATE(YEAR(H20),1,1),$H$2:H20,"&lt;="&amp;DATE(YEAR(H20),12,31))&lt;=120,-0.25,-0.3))))),"")</f>
        <v/>
      </c>
      <c r="U20">
        <f>IF(G20&lt;&gt;"",0,"")</f>
        <v/>
      </c>
      <c r="V20">
        <f>IF(AND(G20&lt;&gt;"",B20="Entrée"),65,"")</f>
        <v/>
      </c>
      <c r="W20">
        <f>IF(AND(R20&lt;&gt;"",S20&lt;&gt;""),ROUNDUP(R20*(1+S20),2),"")</f>
        <v/>
      </c>
      <c r="X20">
        <f>IF(W20&lt;&gt;"",W20+V20,"")</f>
        <v/>
      </c>
      <c r="Y20">
        <f>IF(X20&lt;&gt;"",IF(X20&lt;9,0,IF(X20&lt;=16,16,X20)),"")</f>
        <v/>
      </c>
      <c r="Z20">
        <f>IF(Y20&lt;&gt;"",Y20,"")</f>
        <v/>
      </c>
    </row>
    <row r="21">
      <c r="D21">
        <f>IF(C21&lt;&gt;"",VLOOKUP(C21,Tableau3[#All],2,0),"")</f>
        <v/>
      </c>
      <c r="F21">
        <f>IF(C21&lt;&gt;"","13","")</f>
        <v/>
      </c>
      <c r="M21">
        <f>IF(G21&lt;&gt;"",VLOOKUP(G21,'Caractéristique navire de pêche'!$B:$E,3,0),"")</f>
        <v/>
      </c>
      <c r="N21">
        <f>IF(G21&lt;&gt;"",VLOOKUP(G21,'[1]caractéristiques Navire de pêch'!$B:$E,2,0),"")</f>
        <v/>
      </c>
      <c r="O21">
        <f>IF(G21&lt;&gt;"",_xlfn.LET(_xlpm.te_reel,VLOOKUP(G21,Tableau13[[#All],[Nom du Navire ]:[Tirant d''eau (m)]],4,0),_xlpm.longueur,VLOOKUP(G21,Tableau13[[#All],[Nom du Navire ]:[Tirant d''eau (m)]],2,0),_xlpm.largeur,VLOOKUP(G21,Tableau13[[#All],[Nom du Navire ]:[Tirant d''eau (m)]],3,0),_xlpm.te_theorique,0.14*SQRT(_xlpm.longueur*_xlpm.largeur),IF(_xlpm.te_reel&gt;=_xlpm.te_theorique,_xlpm.te_reel,ROUND(_xlpm.te_theorique,2))),"")</f>
        <v/>
      </c>
      <c r="P21">
        <f>IF(AND(M21&lt;&gt;"",N21&lt;&gt;"",O21&lt;&gt;""),ROUNDUP(N21*M21*O21,0),"")</f>
        <v/>
      </c>
      <c r="Q21">
        <f>IF(B21&lt;&gt;"",IF(B21="Entrée",0.366,0.228),"")</f>
        <v/>
      </c>
      <c r="R21">
        <f>IF(AND(P21&lt;&gt;"",Q21&lt;&gt;""),ROUNDUP(P21*Q21,2),"")</f>
        <v/>
      </c>
      <c r="S21">
        <f>IF(AND(L21&lt;&gt;"",P21&lt;&gt;""),IF(L21/P21&gt;2/15,0,IF(L21/P21&gt;1/10,-0.1,IF(L21/P21&gt;1/20,-0.3,IF(L21/P21&gt;1/40,-0.5,IF(L21/P21&gt;1/100,-0.6,IF(L21/P21&gt;1/250,-0.7,IF(L21/P21&gt;1/500,-0.8,-0.95))))))),"")</f>
        <v/>
      </c>
      <c r="T21">
        <f t="array" ref="T21">IF(G21&lt;&gt;"",IF(COUNTIFS($G$2:G21,G21,$H$2:H21,"&gt;="&amp;DATE(YEAR(H21),1,1),$H$2:H21,"&lt;="&amp;DATE(YEAR(Q:QH21),12,31))&lt;=6,0,IF(COUNTIFS($G$2:G21,G21,$H$2:H21,"&gt;="&amp;DATE(YEAR(H21),1,1),$H$2:H21,"&lt;="&amp;DATE(YEAR(H21),12,31))&lt;=15,-0.1,IF(COUNTIFS($G$2:G21,G21,$H$2:H21,"&gt;="&amp;DATE(YEAR(H21),1,1),$H$2:H21,"&lt;="&amp;DATE(YEAR(H21),12,31))&lt;=30,-0.15,IF(COUNTIFS($G$2:G21,G21,$H$2:H21,"&gt;="&amp;DATE(YEAR(H21),1,1),$H$2:H21,"&lt;="&amp;DATE(YEAR(H21),12,31))&lt;=60,-0.2,IF(COUNTIFS($G$2:G21,G21,$H$2:H21,"&gt;="&amp;DATE(YEAR(H21),1,1),$H$2:H21,"&lt;="&amp;DATE(YEAR(H21),12,31))&lt;=120,-0.25,-0.3))))),"")</f>
        <v/>
      </c>
      <c r="U21">
        <f>IF(G21&lt;&gt;"",0,"")</f>
        <v/>
      </c>
      <c r="V21">
        <f>IF(AND(G21&lt;&gt;"",B21="Entrée"),65,"")</f>
        <v/>
      </c>
      <c r="W21">
        <f>IF(AND(R21&lt;&gt;"",S21&lt;&gt;""),ROUNDUP(R21*(1+S21),2),"")</f>
        <v/>
      </c>
      <c r="X21">
        <f>IF(W21&lt;&gt;"",W21+V21,"")</f>
        <v/>
      </c>
      <c r="Y21">
        <f>IF(X21&lt;&gt;"",IF(X21&lt;9,0,IF(X21&lt;=16,16,X21)),"")</f>
        <v/>
      </c>
      <c r="Z21">
        <f>IF(Y21&lt;&gt;"",Y21,"")</f>
        <v/>
      </c>
    </row>
    <row r="22">
      <c r="D22">
        <f>IF(C22&lt;&gt;"",VLOOKUP(C22,Tableau3[#All],2,0),"")</f>
        <v/>
      </c>
      <c r="F22">
        <f>IF(C22&lt;&gt;"","13","")</f>
        <v/>
      </c>
      <c r="M22">
        <f>IF(G22&lt;&gt;"",VLOOKUP(G22,'Caractéristique navire de pêche'!$B:$E,3,0),"")</f>
        <v/>
      </c>
      <c r="N22">
        <f>IF(G22&lt;&gt;"",VLOOKUP(G22,'[1]caractéristiques Navire de pêch'!$B:$E,2,0),"")</f>
        <v/>
      </c>
      <c r="O22">
        <f>IF(G22&lt;&gt;"",_xlfn.LET(_xlpm.te_reel,VLOOKUP(G22,Tableau13[[#All],[Nom du Navire ]:[Tirant d''eau (m)]],4,0),_xlpm.longueur,VLOOKUP(G22,Tableau13[[#All],[Nom du Navire ]:[Tirant d''eau (m)]],2,0),_xlpm.largeur,VLOOKUP(G22,Tableau13[[#All],[Nom du Navire ]:[Tirant d''eau (m)]],3,0),_xlpm.te_theorique,0.14*SQRT(_xlpm.longueur*_xlpm.largeur),IF(_xlpm.te_reel&gt;=_xlpm.te_theorique,_xlpm.te_reel,ROUND(_xlpm.te_theorique,2))),"")</f>
        <v/>
      </c>
      <c r="P22">
        <f>IF(AND(M22&lt;&gt;"",N22&lt;&gt;"",O22&lt;&gt;""),ROUNDUP(N22*M22*O22,0),"")</f>
        <v/>
      </c>
      <c r="Q22">
        <f>IF(B22&lt;&gt;"",IF(B22="Entrée",0.366,0.228),"")</f>
        <v/>
      </c>
      <c r="R22">
        <f>IF(AND(P22&lt;&gt;"",Q22&lt;&gt;""),ROUNDUP(P22*Q22,2),"")</f>
        <v/>
      </c>
      <c r="S22">
        <f>IF(AND(L22&lt;&gt;"",P22&lt;&gt;""),IF(L22/P22&gt;2/15,0,IF(L22/P22&gt;1/10,-0.1,IF(L22/P22&gt;1/20,-0.3,IF(L22/P22&gt;1/40,-0.5,IF(L22/P22&gt;1/100,-0.6,IF(L22/P22&gt;1/250,-0.7,IF(L22/P22&gt;1/500,-0.8,-0.95))))))),"")</f>
        <v/>
      </c>
      <c r="T22">
        <f t="array" ref="T22">IF(G22&lt;&gt;"",IF(COUNTIFS($G$2:G22,G22,$H$2:H22,"&gt;="&amp;DATE(YEAR(H22),1,1),$H$2:H22,"&lt;="&amp;DATE(YEAR(Q:QH22),12,31))&lt;=6,0,IF(COUNTIFS($G$2:G22,G22,$H$2:H22,"&gt;="&amp;DATE(YEAR(H22),1,1),$H$2:H22,"&lt;="&amp;DATE(YEAR(H22),12,31))&lt;=15,-0.1,IF(COUNTIFS($G$2:G22,G22,$H$2:H22,"&gt;="&amp;DATE(YEAR(H22),1,1),$H$2:H22,"&lt;="&amp;DATE(YEAR(H22),12,31))&lt;=30,-0.15,IF(COUNTIFS($G$2:G22,G22,$H$2:H22,"&gt;="&amp;DATE(YEAR(H22),1,1),$H$2:H22,"&lt;="&amp;DATE(YEAR(H22),12,31))&lt;=60,-0.2,IF(COUNTIFS($G$2:G22,G22,$H$2:H22,"&gt;="&amp;DATE(YEAR(H22),1,1),$H$2:H22,"&lt;="&amp;DATE(YEAR(H22),12,31))&lt;=120,-0.25,-0.3))))),"")</f>
        <v/>
      </c>
      <c r="U22">
        <f>IF(G22&lt;&gt;"",0,"")</f>
        <v/>
      </c>
      <c r="V22">
        <f>IF(AND(G22&lt;&gt;"",B22="Entrée"),65,"")</f>
        <v/>
      </c>
      <c r="W22">
        <f>IF(AND(R22&lt;&gt;"",S22&lt;&gt;""),ROUNDUP(R22*(1+S22),2),"")</f>
        <v/>
      </c>
      <c r="X22">
        <f>IF(W22&lt;&gt;"",W22+V22,"")</f>
        <v/>
      </c>
      <c r="Y22">
        <f>IF(X22&lt;&gt;"",IF(X22&lt;9,0,IF(X22&lt;=16,16,X22)),"")</f>
        <v/>
      </c>
      <c r="Z22">
        <f>IF(Y22&lt;&gt;"",Y22,"")</f>
        <v/>
      </c>
    </row>
    <row r="23">
      <c r="D23">
        <f>IF(C23&lt;&gt;"",VLOOKUP(C23,Tableau3[#All],2,0),"")</f>
        <v/>
      </c>
      <c r="F23">
        <f>IF(C23&lt;&gt;"","13","")</f>
        <v/>
      </c>
      <c r="M23">
        <f>IF(G23&lt;&gt;"",VLOOKUP(G23,'Caractéristique navire de pêche'!$B:$E,3,0),"")</f>
        <v/>
      </c>
      <c r="N23">
        <f>IF(G23&lt;&gt;"",VLOOKUP(G23,'[1]caractéristiques Navire de pêch'!$B:$E,2,0),"")</f>
        <v/>
      </c>
      <c r="O23">
        <f>IF(G23&lt;&gt;"",_xlfn.LET(_xlpm.te_reel,VLOOKUP(G23,Tableau13[[#All],[Nom du Navire ]:[Tirant d''eau (m)]],4,0),_xlpm.longueur,VLOOKUP(G23,Tableau13[[#All],[Nom du Navire ]:[Tirant d''eau (m)]],2,0),_xlpm.largeur,VLOOKUP(G23,Tableau13[[#All],[Nom du Navire ]:[Tirant d''eau (m)]],3,0),_xlpm.te_theorique,0.14*SQRT(_xlpm.longueur*_xlpm.largeur),IF(_xlpm.te_reel&gt;=_xlpm.te_theorique,_xlpm.te_reel,ROUND(_xlpm.te_theorique,2))),"")</f>
        <v/>
      </c>
      <c r="P23">
        <f>IF(AND(M23&lt;&gt;"",N23&lt;&gt;"",O23&lt;&gt;""),ROUNDUP(N23*M23*O23,0),"")</f>
        <v/>
      </c>
      <c r="Q23">
        <f>IF(B23&lt;&gt;"",IF(B23="Entrée",0.366,0.228),"")</f>
        <v/>
      </c>
      <c r="R23">
        <f>IF(AND(P23&lt;&gt;"",Q23&lt;&gt;""),ROUNDUP(P23*Q23,2),"")</f>
        <v/>
      </c>
      <c r="S23">
        <f>IF(AND(L23&lt;&gt;"",P23&lt;&gt;""),IF(L23/P23&gt;2/15,0,IF(L23/P23&gt;1/10,-0.1,IF(L23/P23&gt;1/20,-0.3,IF(L23/P23&gt;1/40,-0.5,IF(L23/P23&gt;1/100,-0.6,IF(L23/P23&gt;1/250,-0.7,IF(L23/P23&gt;1/500,-0.8,-0.95))))))),"")</f>
        <v/>
      </c>
      <c r="T23">
        <f t="array" ref="T23">IF(G23&lt;&gt;"",IF(COUNTIFS($G$2:G23,G23,$H$2:H23,"&gt;="&amp;DATE(YEAR(H23),1,1),$H$2:H23,"&lt;="&amp;DATE(YEAR(Q:QH23),12,31))&lt;=6,0,IF(COUNTIFS($G$2:G23,G23,$H$2:H23,"&gt;="&amp;DATE(YEAR(H23),1,1),$H$2:H23,"&lt;="&amp;DATE(YEAR(H23),12,31))&lt;=15,-0.1,IF(COUNTIFS($G$2:G23,G23,$H$2:H23,"&gt;="&amp;DATE(YEAR(H23),1,1),$H$2:H23,"&lt;="&amp;DATE(YEAR(H23),12,31))&lt;=30,-0.15,IF(COUNTIFS($G$2:G23,G23,$H$2:H23,"&gt;="&amp;DATE(YEAR(H23),1,1),$H$2:H23,"&lt;="&amp;DATE(YEAR(H23),12,31))&lt;=60,-0.2,IF(COUNTIFS($G$2:G23,G23,$H$2:H23,"&gt;="&amp;DATE(YEAR(H23),1,1),$H$2:H23,"&lt;="&amp;DATE(YEAR(H23),12,31))&lt;=120,-0.25,-0.3))))),"")</f>
        <v/>
      </c>
      <c r="U23">
        <f>IF(G23&lt;&gt;"",0,"")</f>
        <v/>
      </c>
      <c r="V23">
        <f>IF(AND(G23&lt;&gt;"",B23="Entrée"),65,"")</f>
        <v/>
      </c>
      <c r="W23">
        <f>IF(AND(R23&lt;&gt;"",S23&lt;&gt;""),ROUNDUP(R23*(1+S23),2),"")</f>
        <v/>
      </c>
      <c r="X23">
        <f>IF(W23&lt;&gt;"",W23+V23,"")</f>
        <v/>
      </c>
      <c r="Y23">
        <f>IF(X23&lt;&gt;"",IF(X23&lt;9,0,IF(X23&lt;=16,16,X23)),"")</f>
        <v/>
      </c>
      <c r="Z23">
        <f>IF(Y23&lt;&gt;"",Y23,"")</f>
        <v/>
      </c>
    </row>
    <row r="24">
      <c r="D24">
        <f>IF(C24&lt;&gt;"",VLOOKUP(C24,Tableau3[#All],2,0),"")</f>
        <v/>
      </c>
      <c r="F24">
        <f>IF(C24&lt;&gt;"","13","")</f>
        <v/>
      </c>
      <c r="M24">
        <f>IF(G24&lt;&gt;"",VLOOKUP(G24,'Caractéristique navire de pêche'!$B:$E,3,0),"")</f>
        <v/>
      </c>
      <c r="N24">
        <f>IF(G24&lt;&gt;"",VLOOKUP(G24,'[1]caractéristiques Navire de pêch'!$B:$E,2,0),"")</f>
        <v/>
      </c>
      <c r="O24">
        <f>IF(G24&lt;&gt;"",_xlfn.LET(_xlpm.te_reel,VLOOKUP(G24,Tableau13[[#All],[Nom du Navire ]:[Tirant d''eau (m)]],4,0),_xlpm.longueur,VLOOKUP(G24,Tableau13[[#All],[Nom du Navire ]:[Tirant d''eau (m)]],2,0),_xlpm.largeur,VLOOKUP(G24,Tableau13[[#All],[Nom du Navire ]:[Tirant d''eau (m)]],3,0),_xlpm.te_theorique,0.14*SQRT(_xlpm.longueur*_xlpm.largeur),IF(_xlpm.te_reel&gt;=_xlpm.te_theorique,_xlpm.te_reel,ROUND(_xlpm.te_theorique,2))),"")</f>
        <v/>
      </c>
      <c r="P24">
        <f>IF(AND(M24&lt;&gt;"",N24&lt;&gt;"",O24&lt;&gt;""),ROUNDUP(N24*M24*O24,0),"")</f>
        <v/>
      </c>
      <c r="Q24">
        <f>IF(B24&lt;&gt;"",IF(B24="Entrée",0.366,0.228),"")</f>
        <v/>
      </c>
      <c r="R24">
        <f>IF(AND(P24&lt;&gt;"",Q24&lt;&gt;""),ROUNDUP(P24*Q24,2),"")</f>
        <v/>
      </c>
      <c r="S24">
        <f>IF(AND(L24&lt;&gt;"",P24&lt;&gt;""),IF(L24/P24&gt;2/15,0,IF(L24/P24&gt;1/10,-0.1,IF(L24/P24&gt;1/20,-0.3,IF(L24/P24&gt;1/40,-0.5,IF(L24/P24&gt;1/100,-0.6,IF(L24/P24&gt;1/250,-0.7,IF(L24/P24&gt;1/500,-0.8,-0.95))))))),"")</f>
        <v/>
      </c>
      <c r="T24">
        <f t="array" ref="T24">IF(G24&lt;&gt;"",IF(COUNTIFS($G$2:G24,G24,$H$2:H24,"&gt;="&amp;DATE(YEAR(H24),1,1),$H$2:H24,"&lt;="&amp;DATE(YEAR(Q:QH24),12,31))&lt;=6,0,IF(COUNTIFS($G$2:G24,G24,$H$2:H24,"&gt;="&amp;DATE(YEAR(H24),1,1),$H$2:H24,"&lt;="&amp;DATE(YEAR(H24),12,31))&lt;=15,-0.1,IF(COUNTIFS($G$2:G24,G24,$H$2:H24,"&gt;="&amp;DATE(YEAR(H24),1,1),$H$2:H24,"&lt;="&amp;DATE(YEAR(H24),12,31))&lt;=30,-0.15,IF(COUNTIFS($G$2:G24,G24,$H$2:H24,"&gt;="&amp;DATE(YEAR(H24),1,1),$H$2:H24,"&lt;="&amp;DATE(YEAR(H24),12,31))&lt;=60,-0.2,IF(COUNTIFS($G$2:G24,G24,$H$2:H24,"&gt;="&amp;DATE(YEAR(H24),1,1),$H$2:H24,"&lt;="&amp;DATE(YEAR(H24),12,31))&lt;=120,-0.25,-0.3))))),"")</f>
        <v/>
      </c>
      <c r="U24">
        <f>IF(G24&lt;&gt;"",0,"")</f>
        <v/>
      </c>
      <c r="V24">
        <f>IF(AND(G24&lt;&gt;"",B24="Entrée"),65,"")</f>
        <v/>
      </c>
      <c r="W24">
        <f>IF(AND(R24&lt;&gt;"",S24&lt;&gt;""),ROUNDUP(R24*(1+S24),2),"")</f>
        <v/>
      </c>
      <c r="X24">
        <f>IF(W24&lt;&gt;"",W24+V24,"")</f>
        <v/>
      </c>
      <c r="Y24">
        <f>IF(X24&lt;&gt;"",IF(X24&lt;9,0,IF(X24&lt;=16,16,X24)),"")</f>
        <v/>
      </c>
      <c r="Z24">
        <f>IF(Y24&lt;&gt;"",Y24,"")</f>
        <v/>
      </c>
    </row>
    <row r="25">
      <c r="D25">
        <f>IF(C25&lt;&gt;"",VLOOKUP(C25,Tableau3[#All],2,0),"")</f>
        <v/>
      </c>
      <c r="F25">
        <f>IF(C25&lt;&gt;"","13","")</f>
        <v/>
      </c>
      <c r="M25">
        <f>IF(G25&lt;&gt;"",VLOOKUP(G25,'Caractéristique navire de pêche'!$B:$E,3,0),"")</f>
        <v/>
      </c>
      <c r="N25">
        <f>IF(G25&lt;&gt;"",VLOOKUP(G25,'[1]caractéristiques Navire de pêch'!$B:$E,2,0),"")</f>
        <v/>
      </c>
      <c r="O25">
        <f>IF(G25&lt;&gt;"",_xlfn.LET(_xlpm.te_reel,VLOOKUP(G25,Tableau13[[#All],[Nom du Navire ]:[Tirant d''eau (m)]],4,0),_xlpm.longueur,VLOOKUP(G25,Tableau13[[#All],[Nom du Navire ]:[Tirant d''eau (m)]],2,0),_xlpm.largeur,VLOOKUP(G25,Tableau13[[#All],[Nom du Navire ]:[Tirant d''eau (m)]],3,0),_xlpm.te_theorique,0.14*SQRT(_xlpm.longueur*_xlpm.largeur),IF(_xlpm.te_reel&gt;=_xlpm.te_theorique,_xlpm.te_reel,ROUND(_xlpm.te_theorique,2))),"")</f>
        <v/>
      </c>
      <c r="P25">
        <f>IF(AND(M25&lt;&gt;"",N25&lt;&gt;"",O25&lt;&gt;""),ROUNDUP(N25*M25*O25,0),"")</f>
        <v/>
      </c>
      <c r="Q25">
        <f>IF(B25&lt;&gt;"",IF(B25="Entrée",0.366,0.228),"")</f>
        <v/>
      </c>
      <c r="R25">
        <f>IF(AND(P25&lt;&gt;"",Q25&lt;&gt;""),ROUNDUP(P25*Q25,2),"")</f>
        <v/>
      </c>
      <c r="S25">
        <f>IF(AND(L25&lt;&gt;"",P25&lt;&gt;""),IF(L25/P25&gt;2/15,0,IF(L25/P25&gt;1/10,-0.1,IF(L25/P25&gt;1/20,-0.3,IF(L25/P25&gt;1/40,-0.5,IF(L25/P25&gt;1/100,-0.6,IF(L25/P25&gt;1/250,-0.7,IF(L25/P25&gt;1/500,-0.8,-0.95))))))),"")</f>
        <v/>
      </c>
      <c r="T25">
        <f t="array" ref="T25">IF(G25&lt;&gt;"",IF(COUNTIFS($G$2:G25,G25,$H$2:H25,"&gt;="&amp;DATE(YEAR(H25),1,1),$H$2:H25,"&lt;="&amp;DATE(YEAR(Q:QH25),12,31))&lt;=6,0,IF(COUNTIFS($G$2:G25,G25,$H$2:H25,"&gt;="&amp;DATE(YEAR(H25),1,1),$H$2:H25,"&lt;="&amp;DATE(YEAR(H25),12,31))&lt;=15,-0.1,IF(COUNTIFS($G$2:G25,G25,$H$2:H25,"&gt;="&amp;DATE(YEAR(H25),1,1),$H$2:H25,"&lt;="&amp;DATE(YEAR(H25),12,31))&lt;=30,-0.15,IF(COUNTIFS($G$2:G25,G25,$H$2:H25,"&gt;="&amp;DATE(YEAR(H25),1,1),$H$2:H25,"&lt;="&amp;DATE(YEAR(H25),12,31))&lt;=60,-0.2,IF(COUNTIFS($G$2:G25,G25,$H$2:H25,"&gt;="&amp;DATE(YEAR(H25),1,1),$H$2:H25,"&lt;="&amp;DATE(YEAR(H25),12,31))&lt;=120,-0.25,-0.3))))),"")</f>
        <v/>
      </c>
      <c r="U25">
        <f>IF(G25&lt;&gt;"",0,"")</f>
        <v/>
      </c>
      <c r="V25">
        <f>IF(AND(G25&lt;&gt;"",B25="Entrée"),65,"")</f>
        <v/>
      </c>
      <c r="W25">
        <f>IF(AND(R25&lt;&gt;"",S25&lt;&gt;""),ROUNDUP(R25*(1+S25),2),"")</f>
        <v/>
      </c>
      <c r="X25">
        <f>IF(W25&lt;&gt;"",W25+V25,"")</f>
        <v/>
      </c>
      <c r="Y25">
        <f>IF(X25&lt;&gt;"",IF(X25&lt;9,0,IF(X25&lt;=16,16,X25)),"")</f>
        <v/>
      </c>
      <c r="Z25">
        <f>IF(Y25&lt;&gt;"",Y25,"")</f>
        <v/>
      </c>
    </row>
    <row r="26">
      <c r="D26">
        <f>IF(C26&lt;&gt;"",VLOOKUP(C26,Tableau3[#All],2,0),"")</f>
        <v/>
      </c>
      <c r="F26">
        <f>IF(C26&lt;&gt;"","13","")</f>
        <v/>
      </c>
      <c r="M26">
        <f>IF(G26&lt;&gt;"",VLOOKUP(G26,'Caractéristique navire de pêche'!$B:$E,3,0),"")</f>
        <v/>
      </c>
      <c r="N26">
        <f>IF(G26&lt;&gt;"",VLOOKUP(G26,'[1]caractéristiques Navire de pêch'!$B:$E,2,0),"")</f>
        <v/>
      </c>
      <c r="O26">
        <f>IF(G26&lt;&gt;"",_xlfn.LET(_xlpm.te_reel,VLOOKUP(G26,Tableau13[[#All],[Nom du Navire ]:[Tirant d''eau (m)]],4,0),_xlpm.longueur,VLOOKUP(G26,Tableau13[[#All],[Nom du Navire ]:[Tirant d''eau (m)]],2,0),_xlpm.largeur,VLOOKUP(G26,Tableau13[[#All],[Nom du Navire ]:[Tirant d''eau (m)]],3,0),_xlpm.te_theorique,0.14*SQRT(_xlpm.longueur*_xlpm.largeur),IF(_xlpm.te_reel&gt;=_xlpm.te_theorique,_xlpm.te_reel,ROUND(_xlpm.te_theorique,2))),"")</f>
        <v/>
      </c>
      <c r="P26">
        <f>IF(AND(M26&lt;&gt;"",N26&lt;&gt;"",O26&lt;&gt;""),ROUNDUP(N26*M26*O26,0),"")</f>
        <v/>
      </c>
      <c r="Q26">
        <f>IF(B26&lt;&gt;"",IF(B26="Entrée",0.366,0.228),"")</f>
        <v/>
      </c>
      <c r="R26">
        <f>IF(AND(P26&lt;&gt;"",Q26&lt;&gt;""),ROUNDUP(P26*Q26,2),"")</f>
        <v/>
      </c>
      <c r="S26">
        <f>IF(AND(L26&lt;&gt;"",P26&lt;&gt;""),IF(L26/P26&gt;2/15,0,IF(L26/P26&gt;1/10,-0.1,IF(L26/P26&gt;1/20,-0.3,IF(L26/P26&gt;1/40,-0.5,IF(L26/P26&gt;1/100,-0.6,IF(L26/P26&gt;1/250,-0.7,IF(L26/P26&gt;1/500,-0.8,-0.95))))))),"")</f>
        <v/>
      </c>
      <c r="T26">
        <f t="array" ref="T26">IF(G26&lt;&gt;"",IF(COUNTIFS($G$2:G26,G26,$H$2:H26,"&gt;="&amp;DATE(YEAR(H26),1,1),$H$2:H26,"&lt;="&amp;DATE(YEAR(Q:QH26),12,31))&lt;=6,0,IF(COUNTIFS($G$2:G26,G26,$H$2:H26,"&gt;="&amp;DATE(YEAR(H26),1,1),$H$2:H26,"&lt;="&amp;DATE(YEAR(H26),12,31))&lt;=15,-0.1,IF(COUNTIFS($G$2:G26,G26,$H$2:H26,"&gt;="&amp;DATE(YEAR(H26),1,1),$H$2:H26,"&lt;="&amp;DATE(YEAR(H26),12,31))&lt;=30,-0.15,IF(COUNTIFS($G$2:G26,G26,$H$2:H26,"&gt;="&amp;DATE(YEAR(H26),1,1),$H$2:H26,"&lt;="&amp;DATE(YEAR(H26),12,31))&lt;=60,-0.2,IF(COUNTIFS($G$2:G26,G26,$H$2:H26,"&gt;="&amp;DATE(YEAR(H26),1,1),$H$2:H26,"&lt;="&amp;DATE(YEAR(H26),12,31))&lt;=120,-0.25,-0.3))))),"")</f>
        <v/>
      </c>
      <c r="U26">
        <f>IF(G26&lt;&gt;"",0,"")</f>
        <v/>
      </c>
      <c r="V26">
        <f>IF(AND(G26&lt;&gt;"",B26="Entrée"),65,"")</f>
        <v/>
      </c>
      <c r="W26">
        <f>IF(AND(R26&lt;&gt;"",S26&lt;&gt;""),ROUNDUP(R26*(1+S26),2),"")</f>
        <v/>
      </c>
      <c r="X26">
        <f>IF(W26&lt;&gt;"",W26+V26,"")</f>
        <v/>
      </c>
      <c r="Y26">
        <f>IF(X26&lt;&gt;"",IF(X26&lt;9,0,IF(X26&lt;=16,16,X26)),"")</f>
        <v/>
      </c>
      <c r="Z26">
        <f>IF(Y26&lt;&gt;"",Y26,"")</f>
        <v/>
      </c>
    </row>
    <row r="27">
      <c r="D27">
        <f>IF(C27&lt;&gt;"",VLOOKUP(C27,Tableau3[#All],2,0),"")</f>
        <v/>
      </c>
      <c r="F27">
        <f>IF(C27&lt;&gt;"","13","")</f>
        <v/>
      </c>
      <c r="M27">
        <f>IF(G27&lt;&gt;"",VLOOKUP(G27,'Caractéristique navire de pêche'!$B:$E,3,0),"")</f>
        <v/>
      </c>
      <c r="N27">
        <f>IF(G27&lt;&gt;"",VLOOKUP(G27,'[1]caractéristiques Navire de pêch'!$B:$E,2,0),"")</f>
        <v/>
      </c>
      <c r="O27">
        <f>IF(G27&lt;&gt;"",_xlfn.LET(_xlpm.te_reel,VLOOKUP(G27,Tableau13[[#All],[Nom du Navire ]:[Tirant d''eau (m)]],4,0),_xlpm.longueur,VLOOKUP(G27,Tableau13[[#All],[Nom du Navire ]:[Tirant d''eau (m)]],2,0),_xlpm.largeur,VLOOKUP(G27,Tableau13[[#All],[Nom du Navire ]:[Tirant d''eau (m)]],3,0),_xlpm.te_theorique,0.14*SQRT(_xlpm.longueur*_xlpm.largeur),IF(_xlpm.te_reel&gt;=_xlpm.te_theorique,_xlpm.te_reel,ROUND(_xlpm.te_theorique,2))),"")</f>
        <v/>
      </c>
      <c r="P27">
        <f>IF(AND(M27&lt;&gt;"",N27&lt;&gt;"",O27&lt;&gt;""),ROUNDUP(N27*M27*O27,0),"")</f>
        <v/>
      </c>
      <c r="Q27">
        <f>IF(B27&lt;&gt;"",IF(B27="Entrée",0.366,0.228),"")</f>
        <v/>
      </c>
      <c r="R27">
        <f>IF(AND(P27&lt;&gt;"",Q27&lt;&gt;""),ROUNDUP(P27*Q27,2),"")</f>
        <v/>
      </c>
      <c r="S27">
        <f>IF(AND(L27&lt;&gt;"",P27&lt;&gt;""),IF(L27/P27&gt;2/15,0,IF(L27/P27&gt;1/10,-0.1,IF(L27/P27&gt;1/20,-0.3,IF(L27/P27&gt;1/40,-0.5,IF(L27/P27&gt;1/100,-0.6,IF(L27/P27&gt;1/250,-0.7,IF(L27/P27&gt;1/500,-0.8,-0.95))))))),"")</f>
        <v/>
      </c>
      <c r="T27">
        <f t="array" ref="T27">IF(G27&lt;&gt;"",IF(COUNTIFS($G$2:G27,G27,$H$2:H27,"&gt;="&amp;DATE(YEAR(H27),1,1),$H$2:H27,"&lt;="&amp;DATE(YEAR(Q:QH27),12,31))&lt;=6,0,IF(COUNTIFS($G$2:G27,G27,$H$2:H27,"&gt;="&amp;DATE(YEAR(H27),1,1),$H$2:H27,"&lt;="&amp;DATE(YEAR(H27),12,31))&lt;=15,-0.1,IF(COUNTIFS($G$2:G27,G27,$H$2:H27,"&gt;="&amp;DATE(YEAR(H27),1,1),$H$2:H27,"&lt;="&amp;DATE(YEAR(H27),12,31))&lt;=30,-0.15,IF(COUNTIFS($G$2:G27,G27,$H$2:H27,"&gt;="&amp;DATE(YEAR(H27),1,1),$H$2:H27,"&lt;="&amp;DATE(YEAR(H27),12,31))&lt;=60,-0.2,IF(COUNTIFS($G$2:G27,G27,$H$2:H27,"&gt;="&amp;DATE(YEAR(H27),1,1),$H$2:H27,"&lt;="&amp;DATE(YEAR(H27),12,31))&lt;=120,-0.25,-0.3))))),"")</f>
        <v/>
      </c>
      <c r="U27">
        <f>IF(G27&lt;&gt;"",0,"")</f>
        <v/>
      </c>
      <c r="V27">
        <f>IF(AND(G27&lt;&gt;"",B27="Entrée"),65,"")</f>
        <v/>
      </c>
      <c r="W27">
        <f>IF(AND(R27&lt;&gt;"",S27&lt;&gt;""),ROUNDUP(R27*(1+S27),2),"")</f>
        <v/>
      </c>
      <c r="X27">
        <f>IF(W27&lt;&gt;"",W27+V27,"")</f>
        <v/>
      </c>
      <c r="Y27">
        <f>IF(X27&lt;&gt;"",IF(X27&lt;9,0,IF(X27&lt;=16,16,X27)),"")</f>
        <v/>
      </c>
      <c r="Z27">
        <f>IF(Y27&lt;&gt;"",Y27,"")</f>
        <v/>
      </c>
    </row>
    <row r="28">
      <c r="D28">
        <f>IF(C28&lt;&gt;"",VLOOKUP(C28,Tableau3[#All],2,0),"")</f>
        <v/>
      </c>
      <c r="F28">
        <f>IF(C28&lt;&gt;"","13","")</f>
        <v/>
      </c>
      <c r="M28">
        <f>IF(G28&lt;&gt;"",VLOOKUP(G28,'Caractéristique navire de pêche'!$B:$E,3,0),"")</f>
        <v/>
      </c>
      <c r="N28">
        <f>IF(G28&lt;&gt;"",VLOOKUP(G28,'[1]caractéristiques Navire de pêch'!$B:$E,2,0),"")</f>
        <v/>
      </c>
      <c r="O28">
        <f>IF(G28&lt;&gt;"",_xlfn.LET(_xlpm.te_reel,VLOOKUP(G28,Tableau13[[#All],[Nom du Navire ]:[Tirant d''eau (m)]],4,0),_xlpm.longueur,VLOOKUP(G28,Tableau13[[#All],[Nom du Navire ]:[Tirant d''eau (m)]],2,0),_xlpm.largeur,VLOOKUP(G28,Tableau13[[#All],[Nom du Navire ]:[Tirant d''eau (m)]],3,0),_xlpm.te_theorique,0.14*SQRT(_xlpm.longueur*_xlpm.largeur),IF(_xlpm.te_reel&gt;=_xlpm.te_theorique,_xlpm.te_reel,ROUND(_xlpm.te_theorique,2))),"")</f>
        <v/>
      </c>
      <c r="P28">
        <f>IF(AND(M28&lt;&gt;"",N28&lt;&gt;"",O28&lt;&gt;""),ROUNDUP(N28*M28*O28,0),"")</f>
        <v/>
      </c>
      <c r="Q28">
        <f>IF(B28&lt;&gt;"",IF(B28="Entrée",0.366,0.228),"")</f>
        <v/>
      </c>
      <c r="R28">
        <f>IF(AND(P28&lt;&gt;"",Q28&lt;&gt;""),ROUNDUP(P28*Q28,2),"")</f>
        <v/>
      </c>
      <c r="S28">
        <f>IF(AND(L28&lt;&gt;"",P28&lt;&gt;""),IF(L28/P28&gt;2/15,0,IF(L28/P28&gt;1/10,-0.1,IF(L28/P28&gt;1/20,-0.3,IF(L28/P28&gt;1/40,-0.5,IF(L28/P28&gt;1/100,-0.6,IF(L28/P28&gt;1/250,-0.7,IF(L28/P28&gt;1/500,-0.8,-0.95))))))),"")</f>
        <v/>
      </c>
      <c r="T28">
        <f t="array" ref="T28">IF(G28&lt;&gt;"",IF(COUNTIFS($G$2:G28,G28,$H$2:H28,"&gt;="&amp;DATE(YEAR(H28),1,1),$H$2:H28,"&lt;="&amp;DATE(YEAR(Q:QH28),12,31))&lt;=6,0,IF(COUNTIFS($G$2:G28,G28,$H$2:H28,"&gt;="&amp;DATE(YEAR(H28),1,1),$H$2:H28,"&lt;="&amp;DATE(YEAR(H28),12,31))&lt;=15,-0.1,IF(COUNTIFS($G$2:G28,G28,$H$2:H28,"&gt;="&amp;DATE(YEAR(H28),1,1),$H$2:H28,"&lt;="&amp;DATE(YEAR(H28),12,31))&lt;=30,-0.15,IF(COUNTIFS($G$2:G28,G28,$H$2:H28,"&gt;="&amp;DATE(YEAR(H28),1,1),$H$2:H28,"&lt;="&amp;DATE(YEAR(H28),12,31))&lt;=60,-0.2,IF(COUNTIFS($G$2:G28,G28,$H$2:H28,"&gt;="&amp;DATE(YEAR(H28),1,1),$H$2:H28,"&lt;="&amp;DATE(YEAR(H28),12,31))&lt;=120,-0.25,-0.3))))),"")</f>
        <v/>
      </c>
      <c r="U28">
        <f>IF(G28&lt;&gt;"",0,"")</f>
        <v/>
      </c>
      <c r="V28">
        <f>IF(AND(G28&lt;&gt;"",B28="Entrée"),65,"")</f>
        <v/>
      </c>
      <c r="W28">
        <f>IF(AND(R28&lt;&gt;"",S28&lt;&gt;""),ROUNDUP(R28*(1+S28),2),"")</f>
        <v/>
      </c>
      <c r="X28">
        <f>IF(W28&lt;&gt;"",W28+V28,"")</f>
        <v/>
      </c>
      <c r="Y28">
        <f>IF(X28&lt;&gt;"",IF(X28&lt;9,0,IF(X28&lt;=16,16,X28)),"")</f>
        <v/>
      </c>
      <c r="Z28">
        <f>IF(Y28&lt;&gt;"",Y28,"")</f>
        <v/>
      </c>
    </row>
    <row r="29">
      <c r="D29">
        <f>IF(C29&lt;&gt;"",VLOOKUP(C29,Tableau3[#All],2,0),"")</f>
        <v/>
      </c>
      <c r="F29">
        <f>IF(C29&lt;&gt;"","13","")</f>
        <v/>
      </c>
      <c r="M29">
        <f>IF(G29&lt;&gt;"",VLOOKUP(G29,'Caractéristique navire de pêche'!$B:$E,3,0),"")</f>
        <v/>
      </c>
      <c r="N29">
        <f>IF(G29&lt;&gt;"",VLOOKUP(G29,'[1]caractéristiques Navire de pêch'!$B:$E,2,0),"")</f>
        <v/>
      </c>
      <c r="O29">
        <f>IF(G29&lt;&gt;"",_xlfn.LET(_xlpm.te_reel,VLOOKUP(G29,Tableau13[[#All],[Nom du Navire ]:[Tirant d''eau (m)]],4,0),_xlpm.longueur,VLOOKUP(G29,Tableau13[[#All],[Nom du Navire ]:[Tirant d''eau (m)]],2,0),_xlpm.largeur,VLOOKUP(G29,Tableau13[[#All],[Nom du Navire ]:[Tirant d''eau (m)]],3,0),_xlpm.te_theorique,0.14*SQRT(_xlpm.longueur*_xlpm.largeur),IF(_xlpm.te_reel&gt;=_xlpm.te_theorique,_xlpm.te_reel,ROUND(_xlpm.te_theorique,2))),"")</f>
        <v/>
      </c>
      <c r="P29">
        <f>IF(AND(M29&lt;&gt;"",N29&lt;&gt;"",O29&lt;&gt;""),ROUNDUP(N29*M29*O29,0),"")</f>
        <v/>
      </c>
      <c r="Q29">
        <f>IF(B29&lt;&gt;"",IF(B29="Entrée",0.366,0.228),"")</f>
        <v/>
      </c>
      <c r="R29">
        <f>IF(AND(P29&lt;&gt;"",Q29&lt;&gt;""),ROUNDUP(P29*Q29,2),"")</f>
        <v/>
      </c>
      <c r="S29">
        <f>IF(AND(L29&lt;&gt;"",P29&lt;&gt;""),IF(L29/P29&gt;2/15,0,IF(L29/P29&gt;1/10,-0.1,IF(L29/P29&gt;1/20,-0.3,IF(L29/P29&gt;1/40,-0.5,IF(L29/P29&gt;1/100,-0.6,IF(L29/P29&gt;1/250,-0.7,IF(L29/P29&gt;1/500,-0.8,-0.95))))))),"")</f>
        <v/>
      </c>
      <c r="T29">
        <f t="array" ref="T29">IF(G29&lt;&gt;"",IF(COUNTIFS($G$2:G29,G29,$H$2:H29,"&gt;="&amp;DATE(YEAR(H29),1,1),$H$2:H29,"&lt;="&amp;DATE(YEAR(Q:QH29),12,31))&lt;=6,0,IF(COUNTIFS($G$2:G29,G29,$H$2:H29,"&gt;="&amp;DATE(YEAR(H29),1,1),$H$2:H29,"&lt;="&amp;DATE(YEAR(H29),12,31))&lt;=15,-0.1,IF(COUNTIFS($G$2:G29,G29,$H$2:H29,"&gt;="&amp;DATE(YEAR(H29),1,1),$H$2:H29,"&lt;="&amp;DATE(YEAR(H29),12,31))&lt;=30,-0.15,IF(COUNTIFS($G$2:G29,G29,$H$2:H29,"&gt;="&amp;DATE(YEAR(H29),1,1),$H$2:H29,"&lt;="&amp;DATE(YEAR(H29),12,31))&lt;=60,-0.2,IF(COUNTIFS($G$2:G29,G29,$H$2:H29,"&gt;="&amp;DATE(YEAR(H29),1,1),$H$2:H29,"&lt;="&amp;DATE(YEAR(H29),12,31))&lt;=120,-0.25,-0.3))))),"")</f>
        <v/>
      </c>
      <c r="U29">
        <f>IF(G29&lt;&gt;"",0,"")</f>
        <v/>
      </c>
      <c r="V29">
        <f>IF(AND(G29&lt;&gt;"",B29="Entrée"),65,"")</f>
        <v/>
      </c>
      <c r="W29">
        <f>IF(AND(R29&lt;&gt;"",S29&lt;&gt;""),ROUNDUP(R29*(1+S29),2),"")</f>
        <v/>
      </c>
      <c r="X29">
        <f>IF(W29&lt;&gt;"",W29+V29,"")</f>
        <v/>
      </c>
      <c r="Y29">
        <f>IF(X29&lt;&gt;"",IF(X29&lt;9,0,IF(X29&lt;=16,16,X29)),"")</f>
        <v/>
      </c>
      <c r="Z29">
        <f>IF(Y29&lt;&gt;"",Y29,"")</f>
        <v/>
      </c>
    </row>
    <row r="30">
      <c r="D30">
        <f>IF(C30&lt;&gt;"",VLOOKUP(C30,Tableau3[#All],2,0),"")</f>
        <v/>
      </c>
      <c r="F30">
        <f>IF(C30&lt;&gt;"","13","")</f>
        <v/>
      </c>
      <c r="M30">
        <f>IF(G30&lt;&gt;"",VLOOKUP(G30,'Caractéristique navire de pêche'!$B:$E,3,0),"")</f>
        <v/>
      </c>
      <c r="N30">
        <f>IF(G30&lt;&gt;"",VLOOKUP(G30,'[1]caractéristiques Navire de pêch'!$B:$E,2,0),"")</f>
        <v/>
      </c>
      <c r="O30">
        <f>IF(G30&lt;&gt;"",_xlfn.LET(_xlpm.te_reel,VLOOKUP(G30,Tableau13[[#All],[Nom du Navire ]:[Tirant d''eau (m)]],4,0),_xlpm.longueur,VLOOKUP(G30,Tableau13[[#All],[Nom du Navire ]:[Tirant d''eau (m)]],2,0),_xlpm.largeur,VLOOKUP(G30,Tableau13[[#All],[Nom du Navire ]:[Tirant d''eau (m)]],3,0),_xlpm.te_theorique,0.14*SQRT(_xlpm.longueur*_xlpm.largeur),IF(_xlpm.te_reel&gt;=_xlpm.te_theorique,_xlpm.te_reel,ROUND(_xlpm.te_theorique,2))),"")</f>
        <v/>
      </c>
      <c r="P30">
        <f>IF(AND(M30&lt;&gt;"",N30&lt;&gt;"",O30&lt;&gt;""),ROUNDUP(N30*M30*O30,0),"")</f>
        <v/>
      </c>
      <c r="Q30">
        <f>IF(B30&lt;&gt;"",IF(B30="Entrée",0.366,0.228),"")</f>
        <v/>
      </c>
      <c r="R30">
        <f>IF(AND(P30&lt;&gt;"",Q30&lt;&gt;""),ROUNDUP(P30*Q30,2),"")</f>
        <v/>
      </c>
      <c r="S30">
        <f>IF(AND(L30&lt;&gt;"",P30&lt;&gt;""),IF(L30/P30&gt;2/15,0,IF(L30/P30&gt;1/10,-0.1,IF(L30/P30&gt;1/20,-0.3,IF(L30/P30&gt;1/40,-0.5,IF(L30/P30&gt;1/100,-0.6,IF(L30/P30&gt;1/250,-0.7,IF(L30/P30&gt;1/500,-0.8,-0.95))))))),"")</f>
        <v/>
      </c>
      <c r="T30">
        <f t="array" ref="T30">IF(G30&lt;&gt;"",IF(COUNTIFS($G$2:G30,G30,$H$2:H30,"&gt;="&amp;DATE(YEAR(H30),1,1),$H$2:H30,"&lt;="&amp;DATE(YEAR(Q:QH30),12,31))&lt;=6,0,IF(COUNTIFS($G$2:G30,G30,$H$2:H30,"&gt;="&amp;DATE(YEAR(H30),1,1),$H$2:H30,"&lt;="&amp;DATE(YEAR(H30),12,31))&lt;=15,-0.1,IF(COUNTIFS($G$2:G30,G30,$H$2:H30,"&gt;="&amp;DATE(YEAR(H30),1,1),$H$2:H30,"&lt;="&amp;DATE(YEAR(H30),12,31))&lt;=30,-0.15,IF(COUNTIFS($G$2:G30,G30,$H$2:H30,"&gt;="&amp;DATE(YEAR(H30),1,1),$H$2:H30,"&lt;="&amp;DATE(YEAR(H30),12,31))&lt;=60,-0.2,IF(COUNTIFS($G$2:G30,G30,$H$2:H30,"&gt;="&amp;DATE(YEAR(H30),1,1),$H$2:H30,"&lt;="&amp;DATE(YEAR(H30),12,31))&lt;=120,-0.25,-0.3))))),"")</f>
        <v/>
      </c>
      <c r="U30">
        <f>IF(G30&lt;&gt;"",0,"")</f>
        <v/>
      </c>
      <c r="V30">
        <f>IF(AND(G30&lt;&gt;"",B30="Entrée"),65,"")</f>
        <v/>
      </c>
      <c r="W30">
        <f>IF(AND(R30&lt;&gt;"",S30&lt;&gt;""),ROUNDUP(R30*(1+S30),2),"")</f>
        <v/>
      </c>
      <c r="X30">
        <f>IF(W30&lt;&gt;"",W30+V30,"")</f>
        <v/>
      </c>
      <c r="Y30">
        <f>IF(X30&lt;&gt;"",IF(X30&lt;9,0,IF(X30&lt;=16,16,X30)),"")</f>
        <v/>
      </c>
      <c r="Z30">
        <f>IF(Y30&lt;&gt;"",Y30,"")</f>
        <v/>
      </c>
    </row>
    <row r="31">
      <c r="D31">
        <f>IF(C31&lt;&gt;"",VLOOKUP(C31,Tableau3[#All],2,0),"")</f>
        <v/>
      </c>
      <c r="F31">
        <f>IF(C31&lt;&gt;"","13","")</f>
        <v/>
      </c>
      <c r="M31">
        <f>IF(G31&lt;&gt;"",VLOOKUP(G31,'Caractéristique navire de pêche'!$B:$E,3,0),"")</f>
        <v/>
      </c>
      <c r="N31">
        <f>IF(G31&lt;&gt;"",VLOOKUP(G31,'[1]caractéristiques Navire de pêch'!$B:$E,2,0),"")</f>
        <v/>
      </c>
      <c r="O31">
        <f>IF(G31&lt;&gt;"",_xlfn.LET(_xlpm.te_reel,VLOOKUP(G31,Tableau13[[#All],[Nom du Navire ]:[Tirant d''eau (m)]],4,0),_xlpm.longueur,VLOOKUP(G31,Tableau13[[#All],[Nom du Navire ]:[Tirant d''eau (m)]],2,0),_xlpm.largeur,VLOOKUP(G31,Tableau13[[#All],[Nom du Navire ]:[Tirant d''eau (m)]],3,0),_xlpm.te_theorique,0.14*SQRT(_xlpm.longueur*_xlpm.largeur),IF(_xlpm.te_reel&gt;=_xlpm.te_theorique,_xlpm.te_reel,ROUND(_xlpm.te_theorique,2))),"")</f>
        <v/>
      </c>
      <c r="P31">
        <f>IF(AND(M31&lt;&gt;"",N31&lt;&gt;"",O31&lt;&gt;""),ROUNDUP(N31*M31*O31,0),"")</f>
        <v/>
      </c>
      <c r="Q31">
        <f>IF(B31&lt;&gt;"",IF(B31="Entrée",0.366,0.228),"")</f>
        <v/>
      </c>
      <c r="R31">
        <f>IF(AND(P31&lt;&gt;"",Q31&lt;&gt;""),ROUNDUP(P31*Q31,2),"")</f>
        <v/>
      </c>
      <c r="S31">
        <f>IF(AND(L31&lt;&gt;"",P31&lt;&gt;""),IF(L31/P31&gt;2/15,0,IF(L31/P31&gt;1/10,-0.1,IF(L31/P31&gt;1/20,-0.3,IF(L31/P31&gt;1/40,-0.5,IF(L31/P31&gt;1/100,-0.6,IF(L31/P31&gt;1/250,-0.7,IF(L31/P31&gt;1/500,-0.8,-0.95))))))),"")</f>
        <v/>
      </c>
      <c r="T31">
        <f t="array" ref="T31">IF(G31&lt;&gt;"",IF(COUNTIFS($G$2:G31,G31,$H$2:H31,"&gt;="&amp;DATE(YEAR(H31),1,1),$H$2:H31,"&lt;="&amp;DATE(YEAR(Q:QH31),12,31))&lt;=6,0,IF(COUNTIFS($G$2:G31,G31,$H$2:H31,"&gt;="&amp;DATE(YEAR(H31),1,1),$H$2:H31,"&lt;="&amp;DATE(YEAR(H31),12,31))&lt;=15,-0.1,IF(COUNTIFS($G$2:G31,G31,$H$2:H31,"&gt;="&amp;DATE(YEAR(H31),1,1),$H$2:H31,"&lt;="&amp;DATE(YEAR(H31),12,31))&lt;=30,-0.15,IF(COUNTIFS($G$2:G31,G31,$H$2:H31,"&gt;="&amp;DATE(YEAR(H31),1,1),$H$2:H31,"&lt;="&amp;DATE(YEAR(H31),12,31))&lt;=60,-0.2,IF(COUNTIFS($G$2:G31,G31,$H$2:H31,"&gt;="&amp;DATE(YEAR(H31),1,1),$H$2:H31,"&lt;="&amp;DATE(YEAR(H31),12,31))&lt;=120,-0.25,-0.3))))),"")</f>
        <v/>
      </c>
      <c r="U31">
        <f>IF(G31&lt;&gt;"",0,"")</f>
        <v/>
      </c>
      <c r="V31">
        <f>IF(AND(G31&lt;&gt;"",B31="Entrée"),65,"")</f>
        <v/>
      </c>
      <c r="W31">
        <f>IF(AND(R31&lt;&gt;"",S31&lt;&gt;""),ROUNDUP(R31*(1+S31),2),"")</f>
        <v/>
      </c>
      <c r="X31">
        <f>IF(W31&lt;&gt;"",W31+V31,"")</f>
        <v/>
      </c>
      <c r="Y31">
        <f>IF(X31&lt;&gt;"",IF(X31&lt;9,0,IF(X31&lt;=16,16,X31)),"")</f>
        <v/>
      </c>
      <c r="Z31">
        <f>IF(Y31&lt;&gt;"",Y31,"")</f>
        <v/>
      </c>
    </row>
    <row r="32">
      <c r="D32">
        <f>IF(C32&lt;&gt;"",VLOOKUP(C32,Tableau3[#All],2,0),"")</f>
        <v/>
      </c>
      <c r="F32">
        <f>IF(C32&lt;&gt;"","13","")</f>
        <v/>
      </c>
      <c r="M32">
        <f>IF(G32&lt;&gt;"",VLOOKUP(G32,'Caractéristique navire de pêche'!$B:$E,3,0),"")</f>
        <v/>
      </c>
      <c r="N32">
        <f>IF(G32&lt;&gt;"",VLOOKUP(G32,'[1]caractéristiques Navire de pêch'!$B:$E,2,0),"")</f>
        <v/>
      </c>
      <c r="O32">
        <f>IF(G32&lt;&gt;"",_xlfn.LET(_xlpm.te_reel,VLOOKUP(G32,Tableau13[[#All],[Nom du Navire ]:[Tirant d''eau (m)]],4,0),_xlpm.longueur,VLOOKUP(G32,Tableau13[[#All],[Nom du Navire ]:[Tirant d''eau (m)]],2,0),_xlpm.largeur,VLOOKUP(G32,Tableau13[[#All],[Nom du Navire ]:[Tirant d''eau (m)]],3,0),_xlpm.te_theorique,0.14*SQRT(_xlpm.longueur*_xlpm.largeur),IF(_xlpm.te_reel&gt;=_xlpm.te_theorique,_xlpm.te_reel,ROUND(_xlpm.te_theorique,2))),"")</f>
        <v/>
      </c>
      <c r="P32">
        <f>IF(AND(M32&lt;&gt;"",N32&lt;&gt;"",O32&lt;&gt;""),ROUNDUP(N32*M32*O32,0),"")</f>
        <v/>
      </c>
      <c r="Q32">
        <f>IF(B32&lt;&gt;"",IF(B32="Entrée",0.366,0.228),"")</f>
        <v/>
      </c>
      <c r="R32">
        <f>IF(AND(P32&lt;&gt;"",Q32&lt;&gt;""),ROUNDUP(P32*Q32,2),"")</f>
        <v/>
      </c>
      <c r="S32">
        <f>IF(AND(L32&lt;&gt;"",P32&lt;&gt;""),IF(L32/P32&gt;2/15,0,IF(L32/P32&gt;1/10,-0.1,IF(L32/P32&gt;1/20,-0.3,IF(L32/P32&gt;1/40,-0.5,IF(L32/P32&gt;1/100,-0.6,IF(L32/P32&gt;1/250,-0.7,IF(L32/P32&gt;1/500,-0.8,-0.95))))))),"")</f>
        <v/>
      </c>
      <c r="T32">
        <f t="array" ref="T32">IF(G32&lt;&gt;"",IF(COUNTIFS($G$2:G32,G32,$H$2:H32,"&gt;="&amp;DATE(YEAR(H32),1,1),$H$2:H32,"&lt;="&amp;DATE(YEAR(Q:QH32),12,31))&lt;=6,0,IF(COUNTIFS($G$2:G32,G32,$H$2:H32,"&gt;="&amp;DATE(YEAR(H32),1,1),$H$2:H32,"&lt;="&amp;DATE(YEAR(H32),12,31))&lt;=15,-0.1,IF(COUNTIFS($G$2:G32,G32,$H$2:H32,"&gt;="&amp;DATE(YEAR(H32),1,1),$H$2:H32,"&lt;="&amp;DATE(YEAR(H32),12,31))&lt;=30,-0.15,IF(COUNTIFS($G$2:G32,G32,$H$2:H32,"&gt;="&amp;DATE(YEAR(H32),1,1),$H$2:H32,"&lt;="&amp;DATE(YEAR(H32),12,31))&lt;=60,-0.2,IF(COUNTIFS($G$2:G32,G32,$H$2:H32,"&gt;="&amp;DATE(YEAR(H32),1,1),$H$2:H32,"&lt;="&amp;DATE(YEAR(H32),12,31))&lt;=120,-0.25,-0.3))))),"")</f>
        <v/>
      </c>
      <c r="U32">
        <f>IF(G32&lt;&gt;"",0,"")</f>
        <v/>
      </c>
      <c r="V32">
        <f>IF(AND(G32&lt;&gt;"",B32="Entrée"),65,"")</f>
        <v/>
      </c>
      <c r="W32">
        <f>IF(AND(R32&lt;&gt;"",S32&lt;&gt;""),ROUNDUP(R32*(1+S32),2),"")</f>
        <v/>
      </c>
      <c r="X32">
        <f>IF(W32&lt;&gt;"",W32+V32,"")</f>
        <v/>
      </c>
      <c r="Y32">
        <f>IF(X32&lt;&gt;"",IF(X32&lt;9,0,IF(X32&lt;=16,16,X32)),"")</f>
        <v/>
      </c>
      <c r="Z32">
        <f>IF(Y32&lt;&gt;"",Y32,"")</f>
        <v/>
      </c>
    </row>
    <row r="33">
      <c r="D33">
        <f>IF(C33&lt;&gt;"",VLOOKUP(C33,Tableau3[#All],2,0),"")</f>
        <v/>
      </c>
      <c r="F33">
        <f>IF(C33&lt;&gt;"","13","")</f>
        <v/>
      </c>
      <c r="M33">
        <f>IF(G33&lt;&gt;"",VLOOKUP(G33,'Caractéristique navire de pêche'!$B:$E,3,0),"")</f>
        <v/>
      </c>
      <c r="N33">
        <f>IF(G33&lt;&gt;"",VLOOKUP(G33,'[1]caractéristiques Navire de pêch'!$B:$E,2,0),"")</f>
        <v/>
      </c>
      <c r="O33">
        <f>IF(G33&lt;&gt;"",_xlfn.LET(_xlpm.te_reel,VLOOKUP(G33,Tableau13[[#All],[Nom du Navire ]:[Tirant d''eau (m)]],4,0),_xlpm.longueur,VLOOKUP(G33,Tableau13[[#All],[Nom du Navire ]:[Tirant d''eau (m)]],2,0),_xlpm.largeur,VLOOKUP(G33,Tableau13[[#All],[Nom du Navire ]:[Tirant d''eau (m)]],3,0),_xlpm.te_theorique,0.14*SQRT(_xlpm.longueur*_xlpm.largeur),IF(_xlpm.te_reel&gt;=_xlpm.te_theorique,_xlpm.te_reel,ROUND(_xlpm.te_theorique,2))),"")</f>
        <v/>
      </c>
      <c r="P33">
        <f>IF(AND(M33&lt;&gt;"",N33&lt;&gt;"",O33&lt;&gt;""),ROUNDUP(N33*M33*O33,0),"")</f>
        <v/>
      </c>
      <c r="Q33">
        <f>IF(B33&lt;&gt;"",IF(B33="Entrée",0.366,0.228),"")</f>
        <v/>
      </c>
      <c r="R33">
        <f>IF(AND(P33&lt;&gt;"",Q33&lt;&gt;""),ROUNDUP(P33*Q33,2),"")</f>
        <v/>
      </c>
      <c r="S33">
        <f>IF(AND(L33&lt;&gt;"",P33&lt;&gt;""),IF(L33/P33&gt;2/15,0,IF(L33/P33&gt;1/10,-0.1,IF(L33/P33&gt;1/20,-0.3,IF(L33/P33&gt;1/40,-0.5,IF(L33/P33&gt;1/100,-0.6,IF(L33/P33&gt;1/250,-0.7,IF(L33/P33&gt;1/500,-0.8,-0.95))))))),"")</f>
        <v/>
      </c>
      <c r="T33">
        <f t="array" ref="T33">IF(G33&lt;&gt;"",IF(COUNTIFS($G$2:G33,G33,$H$2:H33,"&gt;="&amp;DATE(YEAR(H33),1,1),$H$2:H33,"&lt;="&amp;DATE(YEAR(Q:QH33),12,31))&lt;=6,0,IF(COUNTIFS($G$2:G33,G33,$H$2:H33,"&gt;="&amp;DATE(YEAR(H33),1,1),$H$2:H33,"&lt;="&amp;DATE(YEAR(H33),12,31))&lt;=15,-0.1,IF(COUNTIFS($G$2:G33,G33,$H$2:H33,"&gt;="&amp;DATE(YEAR(H33),1,1),$H$2:H33,"&lt;="&amp;DATE(YEAR(H33),12,31))&lt;=30,-0.15,IF(COUNTIFS($G$2:G33,G33,$H$2:H33,"&gt;="&amp;DATE(YEAR(H33),1,1),$H$2:H33,"&lt;="&amp;DATE(YEAR(H33),12,31))&lt;=60,-0.2,IF(COUNTIFS($G$2:G33,G33,$H$2:H33,"&gt;="&amp;DATE(YEAR(H33),1,1),$H$2:H33,"&lt;="&amp;DATE(YEAR(H33),12,31))&lt;=120,-0.25,-0.3))))),"")</f>
        <v/>
      </c>
      <c r="U33">
        <f>IF(G33&lt;&gt;"",0,"")</f>
        <v/>
      </c>
      <c r="V33">
        <f>IF(AND(G33&lt;&gt;"",B33="Entrée"),65,"")</f>
        <v/>
      </c>
      <c r="W33">
        <f>IF(AND(R33&lt;&gt;"",S33&lt;&gt;""),ROUNDUP(R33*(1+S33),2),"")</f>
        <v/>
      </c>
      <c r="X33">
        <f>IF(W33&lt;&gt;"",W33+V33,"")</f>
        <v/>
      </c>
      <c r="Y33">
        <f>IF(X33&lt;&gt;"",IF(X33&lt;9,0,IF(X33&lt;=16,16,X33)),"")</f>
        <v/>
      </c>
      <c r="Z33">
        <f>IF(Y33&lt;&gt;"",Y33,"")</f>
        <v/>
      </c>
    </row>
    <row r="34">
      <c r="D34">
        <f>IF(C34&lt;&gt;"",VLOOKUP(C34,Tableau3[#All],2,0),"")</f>
        <v/>
      </c>
      <c r="F34">
        <f>IF(C34&lt;&gt;"","13","")</f>
        <v/>
      </c>
      <c r="M34">
        <f>IF(G34&lt;&gt;"",VLOOKUP(G34,'Caractéristique navire de pêche'!$B:$E,3,0),"")</f>
        <v/>
      </c>
      <c r="N34">
        <f>IF(G34&lt;&gt;"",VLOOKUP(G34,'[1]caractéristiques Navire de pêch'!$B:$E,2,0),"")</f>
        <v/>
      </c>
      <c r="O34">
        <f>IF(G34&lt;&gt;"",_xlfn.LET(_xlpm.te_reel,VLOOKUP(G34,Tableau13[[#All],[Nom du Navire ]:[Tirant d''eau (m)]],4,0),_xlpm.longueur,VLOOKUP(G34,Tableau13[[#All],[Nom du Navire ]:[Tirant d''eau (m)]],2,0),_xlpm.largeur,VLOOKUP(G34,Tableau13[[#All],[Nom du Navire ]:[Tirant d''eau (m)]],3,0),_xlpm.te_theorique,0.14*SQRT(_xlpm.longueur*_xlpm.largeur),IF(_xlpm.te_reel&gt;=_xlpm.te_theorique,_xlpm.te_reel,ROUND(_xlpm.te_theorique,2))),"")</f>
        <v/>
      </c>
      <c r="P34">
        <f>IF(AND(M34&lt;&gt;"",N34&lt;&gt;"",O34&lt;&gt;""),ROUNDUP(N34*M34*O34,0),"")</f>
        <v/>
      </c>
      <c r="Q34">
        <f>IF(B34&lt;&gt;"",IF(B34="Entrée",0.366,0.228),"")</f>
        <v/>
      </c>
      <c r="R34">
        <f>IF(AND(P34&lt;&gt;"",Q34&lt;&gt;""),ROUNDUP(P34*Q34,2),"")</f>
        <v/>
      </c>
      <c r="S34">
        <f>IF(AND(L34&lt;&gt;"",P34&lt;&gt;""),IF(L34/P34&gt;2/15,0,IF(L34/P34&gt;1/10,-0.1,IF(L34/P34&gt;1/20,-0.3,IF(L34/P34&gt;1/40,-0.5,IF(L34/P34&gt;1/100,-0.6,IF(L34/P34&gt;1/250,-0.7,IF(L34/P34&gt;1/500,-0.8,-0.95))))))),"")</f>
        <v/>
      </c>
      <c r="T34">
        <f t="array" ref="T34">IF(G34&lt;&gt;"",IF(COUNTIFS($G$2:G34,G34,$H$2:H34,"&gt;="&amp;DATE(YEAR(H34),1,1),$H$2:H34,"&lt;="&amp;DATE(YEAR(Q:QH34),12,31))&lt;=6,0,IF(COUNTIFS($G$2:G34,G34,$H$2:H34,"&gt;="&amp;DATE(YEAR(H34),1,1),$H$2:H34,"&lt;="&amp;DATE(YEAR(H34),12,31))&lt;=15,-0.1,IF(COUNTIFS($G$2:G34,G34,$H$2:H34,"&gt;="&amp;DATE(YEAR(H34),1,1),$H$2:H34,"&lt;="&amp;DATE(YEAR(H34),12,31))&lt;=30,-0.15,IF(COUNTIFS($G$2:G34,G34,$H$2:H34,"&gt;="&amp;DATE(YEAR(H34),1,1),$H$2:H34,"&lt;="&amp;DATE(YEAR(H34),12,31))&lt;=60,-0.2,IF(COUNTIFS($G$2:G34,G34,$H$2:H34,"&gt;="&amp;DATE(YEAR(H34),1,1),$H$2:H34,"&lt;="&amp;DATE(YEAR(H34),12,31))&lt;=120,-0.25,-0.3))))),"")</f>
        <v/>
      </c>
      <c r="U34">
        <f>IF(G34&lt;&gt;"",0,"")</f>
        <v/>
      </c>
      <c r="V34">
        <f>IF(AND(G34&lt;&gt;"",B34="Entrée"),65,"")</f>
        <v/>
      </c>
      <c r="W34">
        <f>IF(AND(R34&lt;&gt;"",S34&lt;&gt;""),ROUNDUP(R34*(1+S34),2),"")</f>
        <v/>
      </c>
      <c r="X34">
        <f>IF(W34&lt;&gt;"",W34+V34,"")</f>
        <v/>
      </c>
      <c r="Y34">
        <f>IF(X34&lt;&gt;"",IF(X34&lt;9,0,IF(X34&lt;=16,16,X34)),"")</f>
        <v/>
      </c>
      <c r="Z34">
        <f>IF(Y34&lt;&gt;"",Y34,"")</f>
        <v/>
      </c>
    </row>
    <row r="35">
      <c r="D35">
        <f>IF(C35&lt;&gt;"",VLOOKUP(C35,Tableau3[#All],2,0),"")</f>
        <v/>
      </c>
      <c r="F35">
        <f>IF(C35&lt;&gt;"","13","")</f>
        <v/>
      </c>
      <c r="M35">
        <f>IF(G35&lt;&gt;"",VLOOKUP(G35,'Caractéristique navire de pêche'!$B:$E,3,0),"")</f>
        <v/>
      </c>
      <c r="N35">
        <f>IF(G35&lt;&gt;"",VLOOKUP(G35,'[1]caractéristiques Navire de pêch'!$B:$E,2,0),"")</f>
        <v/>
      </c>
      <c r="O35">
        <f>IF(G35&lt;&gt;"",_xlfn.LET(_xlpm.te_reel,VLOOKUP(G35,Tableau13[[#All],[Nom du Navire ]:[Tirant d''eau (m)]],4,0),_xlpm.longueur,VLOOKUP(G35,Tableau13[[#All],[Nom du Navire ]:[Tirant d''eau (m)]],2,0),_xlpm.largeur,VLOOKUP(G35,Tableau13[[#All],[Nom du Navire ]:[Tirant d''eau (m)]],3,0),_xlpm.te_theorique,0.14*SQRT(_xlpm.longueur*_xlpm.largeur),IF(_xlpm.te_reel&gt;=_xlpm.te_theorique,_xlpm.te_reel,ROUND(_xlpm.te_theorique,2))),"")</f>
        <v/>
      </c>
      <c r="P35">
        <f>IF(AND(M35&lt;&gt;"",N35&lt;&gt;"",O35&lt;&gt;""),ROUNDUP(N35*M35*O35,0),"")</f>
        <v/>
      </c>
      <c r="Q35">
        <f>IF(B35&lt;&gt;"",IF(B35="Entrée",0.366,0.228),"")</f>
        <v/>
      </c>
      <c r="R35">
        <f>IF(AND(P35&lt;&gt;"",Q35&lt;&gt;""),ROUNDUP(P35*Q35,2),"")</f>
        <v/>
      </c>
      <c r="S35">
        <f>IF(AND(L35&lt;&gt;"",P35&lt;&gt;""),IF(L35/P35&gt;2/15,0,IF(L35/P35&gt;1/10,-0.1,IF(L35/P35&gt;1/20,-0.3,IF(L35/P35&gt;1/40,-0.5,IF(L35/P35&gt;1/100,-0.6,IF(L35/P35&gt;1/250,-0.7,IF(L35/P35&gt;1/500,-0.8,-0.95))))))),"")</f>
        <v/>
      </c>
      <c r="T35">
        <f t="array" ref="T35">IF(G35&lt;&gt;"",IF(COUNTIFS($G$2:G35,G35,$H$2:H35,"&gt;="&amp;DATE(YEAR(H35),1,1),$H$2:H35,"&lt;="&amp;DATE(YEAR(Q:QH35),12,31))&lt;=6,0,IF(COUNTIFS($G$2:G35,G35,$H$2:H35,"&gt;="&amp;DATE(YEAR(H35),1,1),$H$2:H35,"&lt;="&amp;DATE(YEAR(H35),12,31))&lt;=15,-0.1,IF(COUNTIFS($G$2:G35,G35,$H$2:H35,"&gt;="&amp;DATE(YEAR(H35),1,1),$H$2:H35,"&lt;="&amp;DATE(YEAR(H35),12,31))&lt;=30,-0.15,IF(COUNTIFS($G$2:G35,G35,$H$2:H35,"&gt;="&amp;DATE(YEAR(H35),1,1),$H$2:H35,"&lt;="&amp;DATE(YEAR(H35),12,31))&lt;=60,-0.2,IF(COUNTIFS($G$2:G35,G35,$H$2:H35,"&gt;="&amp;DATE(YEAR(H35),1,1),$H$2:H35,"&lt;="&amp;DATE(YEAR(H35),12,31))&lt;=120,-0.25,-0.3))))),"")</f>
        <v/>
      </c>
      <c r="U35">
        <f>IF(G35&lt;&gt;"",0,"")</f>
        <v/>
      </c>
      <c r="V35">
        <f>IF(AND(G35&lt;&gt;"",B35="Entrée"),65,"")</f>
        <v/>
      </c>
      <c r="W35">
        <f>IF(AND(R35&lt;&gt;"",S35&lt;&gt;""),ROUNDUP(R35*(1+S35),2),"")</f>
        <v/>
      </c>
      <c r="X35">
        <f>IF(W35&lt;&gt;"",W35+V35,"")</f>
        <v/>
      </c>
      <c r="Y35">
        <f>IF(X35&lt;&gt;"",IF(X35&lt;9,0,IF(X35&lt;=16,16,X35)),"")</f>
        <v/>
      </c>
      <c r="Z35">
        <f>IF(Y35&lt;&gt;"",Y35,"")</f>
        <v/>
      </c>
    </row>
    <row r="36">
      <c r="D36">
        <f>IF(C36&lt;&gt;"",VLOOKUP(C36,Tableau3[#All],2,0),"")</f>
        <v/>
      </c>
      <c r="F36">
        <f>IF(C36&lt;&gt;"","13","")</f>
        <v/>
      </c>
      <c r="M36">
        <f>IF(G36&lt;&gt;"",VLOOKUP(G36,'Caractéristique navire de pêche'!$B:$E,3,0),"")</f>
        <v/>
      </c>
      <c r="N36">
        <f>IF(G36&lt;&gt;"",VLOOKUP(G36,'[1]caractéristiques Navire de pêch'!$B:$E,2,0),"")</f>
        <v/>
      </c>
      <c r="O36">
        <f>IF(G36&lt;&gt;"",_xlfn.LET(_xlpm.te_reel,VLOOKUP(G36,Tableau13[[#All],[Nom du Navire ]:[Tirant d''eau (m)]],4,0),_xlpm.longueur,VLOOKUP(G36,Tableau13[[#All],[Nom du Navire ]:[Tirant d''eau (m)]],2,0),_xlpm.largeur,VLOOKUP(G36,Tableau13[[#All],[Nom du Navire ]:[Tirant d''eau (m)]],3,0),_xlpm.te_theorique,0.14*SQRT(_xlpm.longueur*_xlpm.largeur),IF(_xlpm.te_reel&gt;=_xlpm.te_theorique,_xlpm.te_reel,ROUND(_xlpm.te_theorique,2))),"")</f>
        <v/>
      </c>
      <c r="P36">
        <f>IF(AND(M36&lt;&gt;"",N36&lt;&gt;"",O36&lt;&gt;""),ROUNDUP(N36*M36*O36,0),"")</f>
        <v/>
      </c>
      <c r="Q36">
        <f>IF(B36&lt;&gt;"",IF(B36="Entrée",0.366,0.228),"")</f>
        <v/>
      </c>
      <c r="R36">
        <f>IF(AND(P36&lt;&gt;"",Q36&lt;&gt;""),ROUNDUP(P36*Q36,2),"")</f>
        <v/>
      </c>
      <c r="S36">
        <f>IF(AND(L36&lt;&gt;"",P36&lt;&gt;""),IF(L36/P36&gt;2/15,0,IF(L36/P36&gt;1/10,-0.1,IF(L36/P36&gt;1/20,-0.3,IF(L36/P36&gt;1/40,-0.5,IF(L36/P36&gt;1/100,-0.6,IF(L36/P36&gt;1/250,-0.7,IF(L36/P36&gt;1/500,-0.8,-0.95))))))),"")</f>
        <v/>
      </c>
      <c r="T36">
        <f t="array" ref="T36">IF(G36&lt;&gt;"",IF(COUNTIFS($G$2:G36,G36,$H$2:H36,"&gt;="&amp;DATE(YEAR(H36),1,1),$H$2:H36,"&lt;="&amp;DATE(YEAR(Q:QH36),12,31))&lt;=6,0,IF(COUNTIFS($G$2:G36,G36,$H$2:H36,"&gt;="&amp;DATE(YEAR(H36),1,1),$H$2:H36,"&lt;="&amp;DATE(YEAR(H36),12,31))&lt;=15,-0.1,IF(COUNTIFS($G$2:G36,G36,$H$2:H36,"&gt;="&amp;DATE(YEAR(H36),1,1),$H$2:H36,"&lt;="&amp;DATE(YEAR(H36),12,31))&lt;=30,-0.15,IF(COUNTIFS($G$2:G36,G36,$H$2:H36,"&gt;="&amp;DATE(YEAR(H36),1,1),$H$2:H36,"&lt;="&amp;DATE(YEAR(H36),12,31))&lt;=60,-0.2,IF(COUNTIFS($G$2:G36,G36,$H$2:H36,"&gt;="&amp;DATE(YEAR(H36),1,1),$H$2:H36,"&lt;="&amp;DATE(YEAR(H36),12,31))&lt;=120,-0.25,-0.3))))),"")</f>
        <v/>
      </c>
      <c r="U36">
        <f>IF(G36&lt;&gt;"",0,"")</f>
        <v/>
      </c>
      <c r="V36">
        <f>IF(AND(G36&lt;&gt;"",B36="Entrée"),65,"")</f>
        <v/>
      </c>
      <c r="W36">
        <f>IF(AND(R36&lt;&gt;"",S36&lt;&gt;""),ROUNDUP(R36*(1+S36),2),"")</f>
        <v/>
      </c>
      <c r="X36">
        <f>IF(W36&lt;&gt;"",W36+V36,"")</f>
        <v/>
      </c>
      <c r="Y36">
        <f>IF(X36&lt;&gt;"",IF(X36&lt;9,0,IF(X36&lt;=16,16,X36)),"")</f>
        <v/>
      </c>
      <c r="Z36">
        <f>IF(Y36&lt;&gt;"",Y36,"")</f>
        <v/>
      </c>
    </row>
    <row r="37">
      <c r="D37">
        <f>IF(C37&lt;&gt;"",VLOOKUP(C37,Tableau3[#All],2,0),"")</f>
        <v/>
      </c>
      <c r="F37">
        <f>IF(C37&lt;&gt;"","13","")</f>
        <v/>
      </c>
      <c r="M37">
        <f>IF(G37&lt;&gt;"",VLOOKUP(G37,'Caractéristique navire de pêche'!$B:$E,3,0),"")</f>
        <v/>
      </c>
      <c r="N37">
        <f>IF(G37&lt;&gt;"",VLOOKUP(G37,'[1]caractéristiques Navire de pêch'!$B:$E,2,0),"")</f>
        <v/>
      </c>
      <c r="O37">
        <f>IF(G37&lt;&gt;"",_xlfn.LET(_xlpm.te_reel,VLOOKUP(G37,Tableau13[[#All],[Nom du Navire ]:[Tirant d''eau (m)]],4,0),_xlpm.longueur,VLOOKUP(G37,Tableau13[[#All],[Nom du Navire ]:[Tirant d''eau (m)]],2,0),_xlpm.largeur,VLOOKUP(G37,Tableau13[[#All],[Nom du Navire ]:[Tirant d''eau (m)]],3,0),_xlpm.te_theorique,0.14*SQRT(_xlpm.longueur*_xlpm.largeur),IF(_xlpm.te_reel&gt;=_xlpm.te_theorique,_xlpm.te_reel,ROUND(_xlpm.te_theorique,2))),"")</f>
        <v/>
      </c>
      <c r="P37">
        <f>IF(AND(M37&lt;&gt;"",N37&lt;&gt;"",O37&lt;&gt;""),ROUNDUP(N37*M37*O37,0),"")</f>
        <v/>
      </c>
      <c r="Q37">
        <f>IF(B37&lt;&gt;"",IF(B37="Entrée",0.366,0.228),"")</f>
        <v/>
      </c>
      <c r="R37">
        <f>IF(AND(P37&lt;&gt;"",Q37&lt;&gt;""),ROUNDUP(P37*Q37,2),"")</f>
        <v/>
      </c>
      <c r="S37">
        <f>IF(AND(L37&lt;&gt;"",P37&lt;&gt;""),IF(L37/P37&gt;2/15,0,IF(L37/P37&gt;1/10,-0.1,IF(L37/P37&gt;1/20,-0.3,IF(L37/P37&gt;1/40,-0.5,IF(L37/P37&gt;1/100,-0.6,IF(L37/P37&gt;1/250,-0.7,IF(L37/P37&gt;1/500,-0.8,-0.95))))))),"")</f>
        <v/>
      </c>
      <c r="T37">
        <f t="array" ref="T37">IF(G37&lt;&gt;"",IF(COUNTIFS($G$2:G37,G37,$H$2:H37,"&gt;="&amp;DATE(YEAR(H37),1,1),$H$2:H37,"&lt;="&amp;DATE(YEAR(Q:QH37),12,31))&lt;=6,0,IF(COUNTIFS($G$2:G37,G37,$H$2:H37,"&gt;="&amp;DATE(YEAR(H37),1,1),$H$2:H37,"&lt;="&amp;DATE(YEAR(H37),12,31))&lt;=15,-0.1,IF(COUNTIFS($G$2:G37,G37,$H$2:H37,"&gt;="&amp;DATE(YEAR(H37),1,1),$H$2:H37,"&lt;="&amp;DATE(YEAR(H37),12,31))&lt;=30,-0.15,IF(COUNTIFS($G$2:G37,G37,$H$2:H37,"&gt;="&amp;DATE(YEAR(H37),1,1),$H$2:H37,"&lt;="&amp;DATE(YEAR(H37),12,31))&lt;=60,-0.2,IF(COUNTIFS($G$2:G37,G37,$H$2:H37,"&gt;="&amp;DATE(YEAR(H37),1,1),$H$2:H37,"&lt;="&amp;DATE(YEAR(H37),12,31))&lt;=120,-0.25,-0.3))))),"")</f>
        <v/>
      </c>
      <c r="U37">
        <f>IF(G37&lt;&gt;"",0,"")</f>
        <v/>
      </c>
      <c r="V37">
        <f>IF(AND(G37&lt;&gt;"",B37="Entrée"),65,"")</f>
        <v/>
      </c>
      <c r="W37">
        <f>IF(AND(R37&lt;&gt;"",S37&lt;&gt;""),ROUNDUP(R37*(1+S37),2),"")</f>
        <v/>
      </c>
      <c r="X37">
        <f>IF(W37&lt;&gt;"",W37+V37,"")</f>
        <v/>
      </c>
      <c r="Y37">
        <f>IF(X37&lt;&gt;"",IF(X37&lt;9,0,IF(X37&lt;=16,16,X37)),"")</f>
        <v/>
      </c>
      <c r="Z37">
        <f>IF(Y37&lt;&gt;"",Y37,"")</f>
        <v/>
      </c>
    </row>
    <row r="38">
      <c r="D38">
        <f>IF(C38&lt;&gt;"",VLOOKUP(C38,Tableau3[#All],2,0),"")</f>
        <v/>
      </c>
      <c r="F38">
        <f>IF(C38&lt;&gt;"","13","")</f>
        <v/>
      </c>
      <c r="M38">
        <f>IF(G38&lt;&gt;"",VLOOKUP(G38,'Caractéristique navire de pêche'!$B:$E,3,0),"")</f>
        <v/>
      </c>
      <c r="N38">
        <f>IF(G38&lt;&gt;"",VLOOKUP(G38,'[1]caractéristiques Navire de pêch'!$B:$E,2,0),"")</f>
        <v/>
      </c>
      <c r="O38">
        <f>IF(G38&lt;&gt;"",_xlfn.LET(_xlpm.te_reel,VLOOKUP(G38,Tableau13[[#All],[Nom du Navire ]:[Tirant d''eau (m)]],4,0),_xlpm.longueur,VLOOKUP(G38,Tableau13[[#All],[Nom du Navire ]:[Tirant d''eau (m)]],2,0),_xlpm.largeur,VLOOKUP(G38,Tableau13[[#All],[Nom du Navire ]:[Tirant d''eau (m)]],3,0),_xlpm.te_theorique,0.14*SQRT(_xlpm.longueur*_xlpm.largeur),IF(_xlpm.te_reel&gt;=_xlpm.te_theorique,_xlpm.te_reel,ROUND(_xlpm.te_theorique,2))),"")</f>
        <v/>
      </c>
      <c r="P38">
        <f>IF(AND(M38&lt;&gt;"",N38&lt;&gt;"",O38&lt;&gt;""),ROUNDUP(N38*M38*O38,0),"")</f>
        <v/>
      </c>
      <c r="Q38">
        <f>IF(B38&lt;&gt;"",IF(B38="Entrée",0.366,0.228),"")</f>
        <v/>
      </c>
      <c r="R38">
        <f>IF(AND(P38&lt;&gt;"",Q38&lt;&gt;""),ROUNDUP(P38*Q38,2),"")</f>
        <v/>
      </c>
      <c r="S38">
        <f>IF(AND(L38&lt;&gt;"",P38&lt;&gt;""),IF(L38/P38&gt;2/15,0,IF(L38/P38&gt;1/10,-0.1,IF(L38/P38&gt;1/20,-0.3,IF(L38/P38&gt;1/40,-0.5,IF(L38/P38&gt;1/100,-0.6,IF(L38/P38&gt;1/250,-0.7,IF(L38/P38&gt;1/500,-0.8,-0.95))))))),"")</f>
        <v/>
      </c>
      <c r="T38">
        <f t="array" ref="T38">IF(G38&lt;&gt;"",IF(COUNTIFS($G$2:G38,G38,$H$2:H38,"&gt;="&amp;DATE(YEAR(H38),1,1),$H$2:H38,"&lt;="&amp;DATE(YEAR(Q:QH38),12,31))&lt;=6,0,IF(COUNTIFS($G$2:G38,G38,$H$2:H38,"&gt;="&amp;DATE(YEAR(H38),1,1),$H$2:H38,"&lt;="&amp;DATE(YEAR(H38),12,31))&lt;=15,-0.1,IF(COUNTIFS($G$2:G38,G38,$H$2:H38,"&gt;="&amp;DATE(YEAR(H38),1,1),$H$2:H38,"&lt;="&amp;DATE(YEAR(H38),12,31))&lt;=30,-0.15,IF(COUNTIFS($G$2:G38,G38,$H$2:H38,"&gt;="&amp;DATE(YEAR(H38),1,1),$H$2:H38,"&lt;="&amp;DATE(YEAR(H38),12,31))&lt;=60,-0.2,IF(COUNTIFS($G$2:G38,G38,$H$2:H38,"&gt;="&amp;DATE(YEAR(H38),1,1),$H$2:H38,"&lt;="&amp;DATE(YEAR(H38),12,31))&lt;=120,-0.25,-0.3))))),"")</f>
        <v/>
      </c>
      <c r="U38">
        <f>IF(G38&lt;&gt;"",0,"")</f>
        <v/>
      </c>
      <c r="V38">
        <f>IF(AND(G38&lt;&gt;"",B38="Entrée"),65,"")</f>
        <v/>
      </c>
      <c r="W38">
        <f>IF(AND(R38&lt;&gt;"",S38&lt;&gt;""),ROUNDUP(R38*(1+S38),2),"")</f>
        <v/>
      </c>
      <c r="X38">
        <f>IF(W38&lt;&gt;"",W38+V38,"")</f>
        <v/>
      </c>
      <c r="Y38">
        <f>IF(X38&lt;&gt;"",IF(X38&lt;9,0,IF(X38&lt;=16,16,X38)),"")</f>
        <v/>
      </c>
      <c r="Z38">
        <f>IF(Y38&lt;&gt;"",Y38,"")</f>
        <v/>
      </c>
    </row>
    <row r="39">
      <c r="A39" t="inlineStr">
        <is>
          <t>23/04/2026</t>
        </is>
      </c>
      <c r="B39" t="inlineStr">
        <is>
          <t>23/04/2026</t>
        </is>
      </c>
      <c r="C39" t="inlineStr">
        <is>
          <t>DSK Fish</t>
        </is>
      </c>
      <c r="D39" t="inlineStr">
        <is>
          <t>MAYELEWO</t>
        </is>
      </c>
      <c r="E39" t="inlineStr">
        <is>
          <t>MARGUARITA</t>
        </is>
      </c>
      <c r="F39" t="inlineStr">
        <is>
          <t>J</t>
        </is>
      </c>
      <c r="G39" t="inlineStr">
        <is>
          <t>2.3456</t>
        </is>
      </c>
      <c r="H39" t="inlineStr">
        <is>
          <t>115</t>
        </is>
      </c>
      <c r="I39" t="inlineStr">
        <is>
          <t>0.366</t>
        </is>
      </c>
      <c r="J39" t="inlineStr">
        <is>
          <t>42</t>
        </is>
      </c>
      <c r="K39" t="inlineStr">
        <is>
          <t>18</t>
        </is>
      </c>
      <c r="L39" t="inlineStr">
        <is>
          <t>18</t>
        </is>
      </c>
      <c r="M39" t="inlineStr">
        <is>
          <t>En attente</t>
        </is>
      </c>
    </row>
  </sheetData>
  <dataValidations count="4">
    <dataValidation sqref="L1:L1048576" showDropDown="0" showInputMessage="1" showErrorMessage="1" allowBlank="1" errorTitle="Format incorrect " error="Veuillez entrer le tonnage en tonnes uniquement " promptTitle="Tonnage" prompt="Entrez le tonnage en tonnes (ex:1,5 pour 1,5 tonnes)" type="decimal">
      <formula1>0</formula1>
      <formula2>50</formula2>
    </dataValidation>
    <dataValidation sqref="C2" showDropDown="0" showInputMessage="1" showErrorMessage="1" allowBlank="1" type="list">
      <formula1>"DSK Fish,Poissonnerie Bapte,Delta Transit"</formula1>
    </dataValidation>
    <dataValidation sqref="G2" showDropDown="0" showInputMessage="1" showErrorMessage="1" allowBlank="1" type="list">
      <formula1>"PATHFINDER,NATHALIA,SAMANTHA DEL VALLEE;ARACELYS MARIA,EL SUR,DON CRUZ,QUEEN MARY,MARIA CELIS 3;MARIA CELIS 2,MARIA CELIS 4,MAYELEWO,EL SUR,DON FAUSTINO"</formula1>
    </dataValidation>
    <dataValidation sqref="D2:F2" showDropDown="0" showInputMessage="1" showErrorMessage="1" allowBlank="1"/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tabSelected="1" workbookViewId="0">
      <selection activeCell="A16" sqref="A16"/>
    </sheetView>
  </sheetViews>
  <sheetFormatPr baseColWidth="8" defaultRowHeight="15"/>
  <cols>
    <col width="18.7109375" customWidth="1" min="1" max="1"/>
    <col width="22.7109375" customWidth="1" min="2" max="2"/>
    <col width="27.5703125" customWidth="1" min="3" max="3"/>
    <col width="26.42578125" customWidth="1" min="4" max="4"/>
    <col width="19.85546875" customWidth="1" min="5" max="5"/>
  </cols>
  <sheetData>
    <row r="1" ht="18.75" customHeight="1">
      <c r="A1" s="4" t="inlineStr">
        <is>
          <t xml:space="preserve">Compagnie </t>
        </is>
      </c>
      <c r="B1" s="5" t="inlineStr">
        <is>
          <t xml:space="preserve">Nom du Navire </t>
        </is>
      </c>
      <c r="C1" s="5" t="inlineStr">
        <is>
          <t>Longueur hors tout (m)</t>
        </is>
      </c>
      <c r="D1" s="6" t="inlineStr">
        <is>
          <t>Largueur maximal (m)</t>
        </is>
      </c>
      <c r="E1" s="4" t="inlineStr">
        <is>
          <t>Tirant d'eau (m)</t>
        </is>
      </c>
    </row>
    <row r="2">
      <c r="A2" s="7" t="inlineStr">
        <is>
          <t>DSK Fish</t>
        </is>
      </c>
      <c r="B2" s="8" t="inlineStr">
        <is>
          <t>MAYELEWO</t>
        </is>
      </c>
      <c r="C2" s="8" t="n">
        <v>14.5</v>
      </c>
      <c r="D2" s="9" t="n">
        <v>4.39</v>
      </c>
      <c r="E2" s="7" t="n">
        <v>1.8</v>
      </c>
    </row>
    <row r="3">
      <c r="A3" s="7" t="inlineStr">
        <is>
          <t>DSK Fish</t>
        </is>
      </c>
      <c r="B3" s="8" t="inlineStr">
        <is>
          <t>EL SUR</t>
        </is>
      </c>
      <c r="C3" s="8" t="n">
        <v>0</v>
      </c>
      <c r="D3" s="8" t="n">
        <v>0</v>
      </c>
      <c r="E3" s="8" t="n">
        <v>0</v>
      </c>
    </row>
    <row r="4">
      <c r="A4" s="7" t="inlineStr">
        <is>
          <t>DSK Fish</t>
        </is>
      </c>
      <c r="B4" s="8" t="inlineStr">
        <is>
          <t>DON FAUSTINO</t>
        </is>
      </c>
      <c r="C4" s="8" t="n">
        <v>0</v>
      </c>
      <c r="D4" s="8" t="n">
        <v>0</v>
      </c>
      <c r="E4" s="8" t="n">
        <v>0</v>
      </c>
    </row>
    <row r="5">
      <c r="A5" s="7" t="inlineStr">
        <is>
          <t>Delta Transit</t>
        </is>
      </c>
      <c r="B5" s="8" t="inlineStr">
        <is>
          <t>DON CRUZ</t>
        </is>
      </c>
      <c r="C5" s="8" t="n">
        <v>0</v>
      </c>
      <c r="D5" s="8" t="n">
        <v>0</v>
      </c>
      <c r="E5" s="8" t="n">
        <v>0</v>
      </c>
    </row>
    <row r="6">
      <c r="A6" s="7" t="inlineStr">
        <is>
          <t>Delta Transit</t>
        </is>
      </c>
      <c r="B6" s="8" t="inlineStr">
        <is>
          <t>EL SUR</t>
        </is>
      </c>
      <c r="C6" s="8" t="n">
        <v>0</v>
      </c>
      <c r="D6" s="8" t="n">
        <v>0</v>
      </c>
      <c r="E6" s="8" t="n">
        <v>0</v>
      </c>
    </row>
    <row r="7">
      <c r="A7" s="7" t="inlineStr">
        <is>
          <t>Delta Transit</t>
        </is>
      </c>
      <c r="B7" s="8" t="inlineStr">
        <is>
          <t>ARACELYS MARIA</t>
        </is>
      </c>
      <c r="C7" s="8" t="n">
        <v>0</v>
      </c>
      <c r="D7" s="8" t="n">
        <v>0</v>
      </c>
      <c r="E7" s="8" t="n">
        <v>0</v>
      </c>
    </row>
    <row r="8">
      <c r="A8" s="7" t="inlineStr">
        <is>
          <t>Delta Transit</t>
        </is>
      </c>
      <c r="B8" s="8" t="inlineStr">
        <is>
          <t>SAMANTHA DEL VALLEE</t>
        </is>
      </c>
      <c r="C8" s="8" t="n">
        <v>0</v>
      </c>
      <c r="D8" s="8" t="n">
        <v>0</v>
      </c>
      <c r="E8" s="8" t="n">
        <v>0</v>
      </c>
    </row>
    <row r="9">
      <c r="A9" s="7" t="inlineStr">
        <is>
          <t>Delta Transit</t>
        </is>
      </c>
      <c r="B9" s="8" t="inlineStr">
        <is>
          <t>PATHFINDER</t>
        </is>
      </c>
      <c r="C9" s="8" t="n">
        <v>0</v>
      </c>
      <c r="D9" s="8" t="n">
        <v>0</v>
      </c>
      <c r="E9" s="8" t="n">
        <v>0</v>
      </c>
    </row>
    <row r="10">
      <c r="A10" s="7" t="inlineStr">
        <is>
          <t>Delta Transit</t>
        </is>
      </c>
      <c r="B10" s="8" t="inlineStr">
        <is>
          <t>NATHALIA</t>
        </is>
      </c>
      <c r="C10" s="8" t="n">
        <v>0</v>
      </c>
      <c r="D10" s="8" t="n">
        <v>0</v>
      </c>
      <c r="E10" s="8" t="n">
        <v>0</v>
      </c>
    </row>
    <row r="11">
      <c r="A11" s="7" t="inlineStr">
        <is>
          <t>Poissonnerie Bapte</t>
        </is>
      </c>
      <c r="B11" s="8" t="inlineStr">
        <is>
          <t>QUEEN MARY</t>
        </is>
      </c>
      <c r="C11" s="8" t="n">
        <v>0</v>
      </c>
      <c r="D11" s="8" t="n">
        <v>0</v>
      </c>
      <c r="E11" s="8" t="n">
        <v>0</v>
      </c>
    </row>
    <row r="12">
      <c r="A12" s="7" t="inlineStr">
        <is>
          <t>Poissonnerie Bapte</t>
        </is>
      </c>
      <c r="B12" s="8" t="inlineStr">
        <is>
          <t>MARIA CELIS 2</t>
        </is>
      </c>
      <c r="C12" s="8" t="n">
        <v>0</v>
      </c>
      <c r="D12" s="8" t="n">
        <v>0</v>
      </c>
      <c r="E12" s="8" t="n">
        <v>0</v>
      </c>
    </row>
    <row r="13">
      <c r="A13" s="7" t="inlineStr">
        <is>
          <t>Poissonnerie Bapte</t>
        </is>
      </c>
      <c r="B13" s="8" t="inlineStr">
        <is>
          <t>MARIA CELIS 3</t>
        </is>
      </c>
      <c r="C13" s="8" t="n">
        <v>0</v>
      </c>
      <c r="D13" s="8" t="n">
        <v>0</v>
      </c>
      <c r="E13" s="8" t="n">
        <v>0</v>
      </c>
    </row>
    <row r="14">
      <c r="A14" s="7" t="inlineStr">
        <is>
          <t>Poissonnerie Bapte</t>
        </is>
      </c>
      <c r="B14" s="8" t="inlineStr">
        <is>
          <t>MARIA CELIS 4</t>
        </is>
      </c>
      <c r="C14" s="8" t="n">
        <v>0</v>
      </c>
      <c r="D14" s="8" t="n">
        <v>0</v>
      </c>
      <c r="E14" s="8" t="n">
        <v>0</v>
      </c>
    </row>
    <row r="15">
      <c r="A15" s="10" t="inlineStr">
        <is>
          <t>DSK Fish</t>
        </is>
      </c>
      <c r="B15" s="8" t="inlineStr">
        <is>
          <t>LA DIOSA</t>
        </is>
      </c>
      <c r="C15" s="11" t="n">
        <v>0</v>
      </c>
      <c r="D15" s="12" t="n">
        <v>0</v>
      </c>
      <c r="E15" s="10" t="n">
        <v>0</v>
      </c>
    </row>
  </sheetData>
  <dataValidations count="2">
    <dataValidation sqref="A2:A15" showDropDown="0" showInputMessage="1" showErrorMessage="1" allowBlank="1" type="list">
      <formula1>"DSK Fish,Poissonnerie Bapte,Delta Transit"</formula1>
    </dataValidation>
    <dataValidation sqref="B2:B15" showDropDown="0" showInputMessage="1" showErrorMessage="1" allowBlank="1" type="list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5" sqref="A5"/>
    </sheetView>
  </sheetViews>
  <sheetFormatPr baseColWidth="8" defaultRowHeight="15"/>
  <cols>
    <col width="18.28515625" customWidth="1" min="1" max="1"/>
    <col width="74.42578125" customWidth="1" min="2" max="2"/>
  </cols>
  <sheetData>
    <row r="1">
      <c r="A1" t="inlineStr">
        <is>
          <t xml:space="preserve">compagnie </t>
        </is>
      </c>
      <c r="B1" t="inlineStr">
        <is>
          <t>Adresse</t>
        </is>
      </c>
    </row>
    <row r="2">
      <c r="A2" t="inlineStr">
        <is>
          <t>DSK Fish</t>
        </is>
      </c>
      <c r="B2" t="inlineStr">
        <is>
          <t>53 AVENUE DES ARAWAKS, 97200 FORT DE FRANCE.</t>
        </is>
      </c>
      <c r="D2">
        <f>IF(C2&lt;&gt;"",VLOOKUP(C2,Tableau3[#All],2,0),"")</f>
        <v/>
      </c>
    </row>
    <row r="3">
      <c r="A3" t="inlineStr">
        <is>
          <t>Poissonnerie Bapte</t>
        </is>
      </c>
      <c r="B3" t="inlineStr">
        <is>
          <t>ZI de Champigny - Bât.n°11, Petite Cocotte - 97224 DUCOS</t>
        </is>
      </c>
    </row>
    <row r="4">
      <c r="A4" t="inlineStr">
        <is>
          <t xml:space="preserve">Delta Transit </t>
        </is>
      </c>
      <c r="B4" t="inlineStr">
        <is>
          <t>Immeuble Frigodom - 1ère étage, ZIP de la Pointe des Grives, 97200, FORT-DE-FRANCE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2026-04-17T14:58:38Z</dcterms:created>
  <dcterms:modified xsi:type="dcterms:W3CDTF">2026-04-23T15:35:50Z</dcterms:modified>
</cp:coreProperties>
</file>