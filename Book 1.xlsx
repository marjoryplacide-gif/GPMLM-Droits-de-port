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.vaillant.GPHUB\Documents\GPMLM\SDDEP\Stage\Stage 2026\"/>
    </mc:Choice>
  </mc:AlternateContent>
  <xr:revisionPtr revIDLastSave="0" documentId="13_ncr:1_{B7D5972E-C4C1-4C96-8AF2-DD2DC40F8E59}" xr6:coauthVersionLast="47" xr6:coauthVersionMax="47" xr10:uidLastSave="{00000000-0000-0000-0000-000000000000}"/>
  <bookViews>
    <workbookView xWindow="28680" yWindow="-6630" windowWidth="29040" windowHeight="1572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3" i="1"/>
  <c r="K4" i="1"/>
  <c r="N4" i="1" s="1"/>
  <c r="K5" i="1"/>
  <c r="K6" i="1"/>
  <c r="K7" i="1"/>
  <c r="K8" i="1"/>
  <c r="K9" i="1"/>
  <c r="N9" i="1" s="1"/>
  <c r="K10" i="1"/>
  <c r="N10" i="1" s="1"/>
  <c r="K11" i="1"/>
  <c r="N11" i="1" s="1"/>
  <c r="K12" i="1"/>
  <c r="N12" i="1" s="1"/>
  <c r="K13" i="1"/>
  <c r="K14" i="1"/>
  <c r="K15" i="1"/>
  <c r="K16" i="1"/>
  <c r="K17" i="1"/>
  <c r="N17" i="1" s="1"/>
  <c r="K18" i="1"/>
  <c r="N18" i="1" s="1"/>
  <c r="K19" i="1"/>
  <c r="N19" i="1" s="1"/>
  <c r="K20" i="1"/>
  <c r="N20" i="1" s="1"/>
  <c r="K21" i="1"/>
  <c r="K22" i="1"/>
  <c r="K23" i="1"/>
  <c r="K24" i="1"/>
  <c r="K25" i="1"/>
  <c r="N25" i="1" s="1"/>
  <c r="K26" i="1"/>
  <c r="N26" i="1" s="1"/>
  <c r="K27" i="1"/>
  <c r="N27" i="1" s="1"/>
  <c r="K28" i="1"/>
  <c r="N28" i="1" s="1"/>
  <c r="K29" i="1"/>
  <c r="K30" i="1"/>
  <c r="K31" i="1"/>
  <c r="K32" i="1"/>
  <c r="K33" i="1"/>
  <c r="N33" i="1" s="1"/>
  <c r="K34" i="1"/>
  <c r="N34" i="1" s="1"/>
  <c r="K35" i="1"/>
  <c r="N35" i="1" s="1"/>
  <c r="K36" i="1"/>
  <c r="N36" i="1" s="1"/>
  <c r="K37" i="1"/>
  <c r="K38" i="1"/>
  <c r="N2" i="1" l="1"/>
  <c r="Q2" i="1" s="1"/>
  <c r="N8" i="1"/>
  <c r="N31" i="1"/>
  <c r="N23" i="1"/>
  <c r="N15" i="1"/>
  <c r="N7" i="1"/>
  <c r="Q7" i="1" s="1"/>
  <c r="N24" i="1"/>
  <c r="P24" i="1" s="1"/>
  <c r="N38" i="1"/>
  <c r="P38" i="1" s="1"/>
  <c r="N30" i="1"/>
  <c r="P30" i="1" s="1"/>
  <c r="N22" i="1"/>
  <c r="N14" i="1"/>
  <c r="N6" i="1"/>
  <c r="N32" i="1"/>
  <c r="N37" i="1"/>
  <c r="Q37" i="1" s="1"/>
  <c r="N29" i="1"/>
  <c r="P29" i="1" s="1"/>
  <c r="N21" i="1"/>
  <c r="Q21" i="1" s="1"/>
  <c r="N13" i="1"/>
  <c r="P13" i="1" s="1"/>
  <c r="N5" i="1"/>
  <c r="N16" i="1"/>
  <c r="Q16" i="1" s="1"/>
  <c r="P36" i="1"/>
  <c r="Q36" i="1"/>
  <c r="P35" i="1"/>
  <c r="Q35" i="1"/>
  <c r="P34" i="1"/>
  <c r="Q34" i="1"/>
  <c r="P33" i="1"/>
  <c r="Q33" i="1"/>
  <c r="P32" i="1"/>
  <c r="Q32" i="1"/>
  <c r="P31" i="1"/>
  <c r="Q31" i="1"/>
  <c r="Q29" i="1"/>
  <c r="P28" i="1"/>
  <c r="Q28" i="1"/>
  <c r="P27" i="1"/>
  <c r="Q27" i="1"/>
  <c r="P26" i="1"/>
  <c r="Q26" i="1"/>
  <c r="P25" i="1"/>
  <c r="Q25" i="1"/>
  <c r="P23" i="1"/>
  <c r="Q23" i="1"/>
  <c r="P22" i="1"/>
  <c r="Q22" i="1"/>
  <c r="P20" i="1"/>
  <c r="Q20" i="1"/>
  <c r="P19" i="1"/>
  <c r="Q19" i="1"/>
  <c r="P18" i="1"/>
  <c r="Q18" i="1"/>
  <c r="P17" i="1"/>
  <c r="Q17" i="1"/>
  <c r="P16" i="1"/>
  <c r="P15" i="1"/>
  <c r="Q15" i="1"/>
  <c r="P14" i="1"/>
  <c r="Q14" i="1"/>
  <c r="P12" i="1"/>
  <c r="Q12" i="1"/>
  <c r="P11" i="1"/>
  <c r="Q11" i="1"/>
  <c r="P10" i="1"/>
  <c r="Q10" i="1"/>
  <c r="P9" i="1"/>
  <c r="Q9" i="1"/>
  <c r="P8" i="1"/>
  <c r="Q8" i="1"/>
  <c r="P7" i="1"/>
  <c r="P6" i="1"/>
  <c r="Q6" i="1"/>
  <c r="P5" i="1"/>
  <c r="Q5" i="1"/>
  <c r="P4" i="1"/>
  <c r="Q4" i="1"/>
  <c r="P3" i="1"/>
  <c r="Q3" i="1"/>
  <c r="P2" i="1"/>
  <c r="Q24" i="1" l="1"/>
  <c r="P37" i="1"/>
  <c r="Q38" i="1"/>
  <c r="P21" i="1"/>
  <c r="U21" i="1" s="1"/>
  <c r="V21" i="1" s="1"/>
  <c r="W21" i="1" s="1"/>
  <c r="X21" i="1" s="1"/>
  <c r="Q13" i="1"/>
  <c r="U13" i="1" s="1"/>
  <c r="V13" i="1" s="1"/>
  <c r="W13" i="1" s="1"/>
  <c r="X13" i="1" s="1"/>
  <c r="Q30" i="1"/>
  <c r="U2" i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<sst xmlns="http://schemas.openxmlformats.org/spreadsheetml/2006/main" count="101" uniqueCount="53">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</sst>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4" totalsRowShown="0" headerRowDxfId="7" headerRowBorderDxfId="6" totalsRowBorderDxfId="5">
  <autoFilter ref="A1:E14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baseColWidth="10" defaultColWidth="8.7265625" defaultRowHeight="14.5" x14ac:dyDescent="0.35"/>
  <cols>
    <col min="1" max="1" width="15.453125" bestFit="1" customWidth="1"/>
    <col min="2" max="2" width="22.453125" customWidth="1"/>
    <col min="3" max="3" width="48.81640625" customWidth="1"/>
    <col min="4" max="4" width="18.1796875" customWidth="1"/>
    <col min="5" max="5" width="18.7265625" customWidth="1"/>
    <col min="6" max="6" width="16.26953125" bestFit="1" customWidth="1"/>
    <col min="7" max="7" width="17.1796875" style="2" bestFit="1" customWidth="1"/>
    <col min="8" max="8" width="15.1796875" style="2" bestFit="1" customWidth="1"/>
    <col min="9" max="9" width="12" bestFit="1" customWidth="1"/>
    <col min="10" max="10" width="11.7265625" bestFit="1" customWidth="1"/>
    <col min="11" max="12" width="13.54296875" bestFit="1" customWidth="1"/>
    <col min="13" max="13" width="14.26953125" bestFit="1" customWidth="1"/>
    <col min="14" max="14" width="21.7265625" bestFit="1" customWidth="1"/>
    <col min="15" max="15" width="16" bestFit="1" customWidth="1"/>
    <col min="16" max="16" width="20.81640625" bestFit="1" customWidth="1"/>
    <col min="17" max="17" width="32" bestFit="1" customWidth="1"/>
    <col min="18" max="18" width="32" customWidth="1"/>
    <col min="19" max="19" width="28" bestFit="1" customWidth="1"/>
    <col min="20" max="20" width="20.1796875" bestFit="1" customWidth="1"/>
    <col min="21" max="21" width="16.81640625" bestFit="1" customWidth="1"/>
    <col min="22" max="22" width="15.7265625" bestFit="1" customWidth="1"/>
    <col min="23" max="23" width="21.81640625" bestFit="1" customWidth="1"/>
    <col min="24" max="24" width="17.1796875" customWidth="1"/>
  </cols>
  <sheetData>
    <row r="1" spans="1:24" ht="15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 x14ac:dyDescent="0.35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 t="shared" ref="O2:O38" si="2">IF(A2&lt;&gt;"",IF(A2="Entrée",0.366,0.228),"")</f>
        <v>0.36599999999999999</v>
      </c>
      <c r="P2">
        <f t="shared" ref="P2:P38" si="3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ref="R2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 t="shared" ref="S2:S38" si="4">IF(E2&lt;&gt;"",0,"")</f>
        <v>0</v>
      </c>
      <c r="T2">
        <f t="shared" ref="T2:T38" si="5">IF(AND(E2&lt;&gt;"",A2="Entrée"),65,"")</f>
        <v>65</v>
      </c>
      <c r="U2">
        <f t="shared" ref="U2:U38" si="6">IF(AND(P2&lt;&gt;"",Q2&lt;&gt;""),ROUNDUP(P2*(1+Q2),2),"")</f>
        <v>16.84</v>
      </c>
      <c r="V2">
        <f t="shared" ref="V2:V38" si="7">IF(U2&lt;&gt;"",U2+T2,"")</f>
        <v>81.84</v>
      </c>
      <c r="W2">
        <f t="shared" ref="W2:W38" si="8">IF(V2&lt;&gt;"",IF(V2&lt;9,0,IF(V2&lt;=16,16,V2)),"")</f>
        <v>81.84</v>
      </c>
      <c r="X2">
        <f t="shared" ref="X2:X38" si="9">IF(W2&lt;&gt;"",W2,"")</f>
        <v>81.84</v>
      </c>
    </row>
    <row r="3" spans="1:24" x14ac:dyDescent="0.35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 t="shared" si="2"/>
        <v/>
      </c>
      <c r="P3" t="str">
        <f t="shared" si="3"/>
        <v/>
      </c>
      <c r="Q3" t="str">
        <f t="shared" ref="Q3:Q38" si="10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 t="shared" si="4"/>
        <v/>
      </c>
      <c r="T3" t="str">
        <f t="shared" si="5"/>
        <v/>
      </c>
      <c r="U3" t="str">
        <f t="shared" si="6"/>
        <v/>
      </c>
      <c r="V3" t="str">
        <f t="shared" si="7"/>
        <v/>
      </c>
      <c r="W3" t="str">
        <f t="shared" si="8"/>
        <v/>
      </c>
      <c r="X3" t="str">
        <f t="shared" si="9"/>
        <v/>
      </c>
    </row>
    <row r="4" spans="1:24" x14ac:dyDescent="0.35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 t="shared" si="2"/>
        <v/>
      </c>
      <c r="P4" t="str">
        <f t="shared" si="3"/>
        <v/>
      </c>
      <c r="Q4" t="str">
        <f t="shared" si="10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 t="shared" si="4"/>
        <v/>
      </c>
      <c r="T4" t="str">
        <f t="shared" si="5"/>
        <v/>
      </c>
      <c r="U4" t="str">
        <f t="shared" si="6"/>
        <v/>
      </c>
      <c r="V4" t="str">
        <f t="shared" si="7"/>
        <v/>
      </c>
      <c r="W4" t="str">
        <f t="shared" si="8"/>
        <v/>
      </c>
      <c r="X4" t="str">
        <f t="shared" si="9"/>
        <v/>
      </c>
    </row>
    <row r="5" spans="1:24" x14ac:dyDescent="0.35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 t="shared" si="2"/>
        <v/>
      </c>
      <c r="P5" t="str">
        <f t="shared" si="3"/>
        <v/>
      </c>
      <c r="Q5" t="str">
        <f t="shared" si="10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 t="shared" si="4"/>
        <v/>
      </c>
      <c r="T5" t="str">
        <f t="shared" si="5"/>
        <v/>
      </c>
      <c r="U5" t="str">
        <f t="shared" si="6"/>
        <v/>
      </c>
      <c r="V5" t="str">
        <f t="shared" si="7"/>
        <v/>
      </c>
      <c r="W5" t="str">
        <f t="shared" si="8"/>
        <v/>
      </c>
      <c r="X5" t="str">
        <f t="shared" si="9"/>
        <v/>
      </c>
    </row>
    <row r="6" spans="1:24" x14ac:dyDescent="0.35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 t="shared" si="2"/>
        <v/>
      </c>
      <c r="P6" t="str">
        <f t="shared" si="3"/>
        <v/>
      </c>
      <c r="Q6" t="str">
        <f t="shared" si="10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 t="shared" si="4"/>
        <v/>
      </c>
      <c r="T6" t="str">
        <f t="shared" si="5"/>
        <v/>
      </c>
      <c r="U6" t="str">
        <f t="shared" si="6"/>
        <v/>
      </c>
      <c r="V6" t="str">
        <f t="shared" si="7"/>
        <v/>
      </c>
      <c r="W6" t="str">
        <f t="shared" si="8"/>
        <v/>
      </c>
      <c r="X6" t="str">
        <f t="shared" si="9"/>
        <v/>
      </c>
    </row>
    <row r="7" spans="1:24" x14ac:dyDescent="0.35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 t="shared" si="2"/>
        <v/>
      </c>
      <c r="P7" t="str">
        <f t="shared" si="3"/>
        <v/>
      </c>
      <c r="Q7" t="str">
        <f t="shared" si="10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 t="shared" si="4"/>
        <v/>
      </c>
      <c r="T7" t="str">
        <f t="shared" si="5"/>
        <v/>
      </c>
      <c r="U7" t="str">
        <f t="shared" si="6"/>
        <v/>
      </c>
      <c r="V7" t="str">
        <f t="shared" si="7"/>
        <v/>
      </c>
      <c r="W7" t="str">
        <f t="shared" si="8"/>
        <v/>
      </c>
      <c r="X7" t="str">
        <f t="shared" si="9"/>
        <v/>
      </c>
    </row>
    <row r="8" spans="1:24" x14ac:dyDescent="0.35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 t="shared" si="2"/>
        <v/>
      </c>
      <c r="P8" t="str">
        <f t="shared" si="3"/>
        <v/>
      </c>
      <c r="Q8" t="str">
        <f t="shared" si="10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 t="shared" si="4"/>
        <v/>
      </c>
      <c r="T8" t="str">
        <f t="shared" si="5"/>
        <v/>
      </c>
      <c r="U8" t="str">
        <f t="shared" si="6"/>
        <v/>
      </c>
      <c r="V8" t="str">
        <f t="shared" si="7"/>
        <v/>
      </c>
      <c r="W8" t="str">
        <f t="shared" si="8"/>
        <v/>
      </c>
      <c r="X8" t="str">
        <f t="shared" si="9"/>
        <v/>
      </c>
    </row>
    <row r="9" spans="1:24" x14ac:dyDescent="0.35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 t="shared" si="2"/>
        <v/>
      </c>
      <c r="P9" t="str">
        <f t="shared" si="3"/>
        <v/>
      </c>
      <c r="Q9" t="str">
        <f t="shared" si="10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 t="shared" si="4"/>
        <v/>
      </c>
      <c r="T9" t="str">
        <f t="shared" si="5"/>
        <v/>
      </c>
      <c r="U9" t="str">
        <f t="shared" si="6"/>
        <v/>
      </c>
      <c r="V9" t="str">
        <f t="shared" si="7"/>
        <v/>
      </c>
      <c r="W9" t="str">
        <f t="shared" si="8"/>
        <v/>
      </c>
      <c r="X9" t="str">
        <f t="shared" si="9"/>
        <v/>
      </c>
    </row>
    <row r="10" spans="1:24" x14ac:dyDescent="0.35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 t="shared" si="2"/>
        <v/>
      </c>
      <c r="P10" t="str">
        <f t="shared" si="3"/>
        <v/>
      </c>
      <c r="Q10" t="str">
        <f t="shared" si="10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 t="shared" si="4"/>
        <v/>
      </c>
      <c r="T10" t="str">
        <f t="shared" si="5"/>
        <v/>
      </c>
      <c r="U10" t="str">
        <f t="shared" si="6"/>
        <v/>
      </c>
      <c r="V10" t="str">
        <f t="shared" si="7"/>
        <v/>
      </c>
      <c r="W10" t="str">
        <f t="shared" si="8"/>
        <v/>
      </c>
      <c r="X10" t="str">
        <f t="shared" si="9"/>
        <v/>
      </c>
    </row>
    <row r="11" spans="1:24" x14ac:dyDescent="0.35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 t="shared" si="2"/>
        <v/>
      </c>
      <c r="P11" t="str">
        <f t="shared" si="3"/>
        <v/>
      </c>
      <c r="Q11" t="str">
        <f t="shared" si="10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 t="shared" si="4"/>
        <v/>
      </c>
      <c r="T11" t="str">
        <f t="shared" si="5"/>
        <v/>
      </c>
      <c r="U11" t="str">
        <f t="shared" si="6"/>
        <v/>
      </c>
      <c r="V11" t="str">
        <f t="shared" si="7"/>
        <v/>
      </c>
      <c r="W11" t="str">
        <f t="shared" si="8"/>
        <v/>
      </c>
      <c r="X11" t="str">
        <f t="shared" si="9"/>
        <v/>
      </c>
    </row>
    <row r="12" spans="1:24" x14ac:dyDescent="0.35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 t="shared" si="2"/>
        <v/>
      </c>
      <c r="P12" t="str">
        <f t="shared" si="3"/>
        <v/>
      </c>
      <c r="Q12" t="str">
        <f t="shared" si="10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 t="shared" si="4"/>
        <v/>
      </c>
      <c r="T12" t="str">
        <f t="shared" si="5"/>
        <v/>
      </c>
      <c r="U12" t="str">
        <f t="shared" si="6"/>
        <v/>
      </c>
      <c r="V12" t="str">
        <f t="shared" si="7"/>
        <v/>
      </c>
      <c r="W12" t="str">
        <f t="shared" si="8"/>
        <v/>
      </c>
      <c r="X12" t="str">
        <f t="shared" si="9"/>
        <v/>
      </c>
    </row>
    <row r="13" spans="1:24" x14ac:dyDescent="0.35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 t="shared" si="2"/>
        <v/>
      </c>
      <c r="P13" t="str">
        <f t="shared" si="3"/>
        <v/>
      </c>
      <c r="Q13" t="str">
        <f t="shared" si="10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 t="shared" si="4"/>
        <v/>
      </c>
      <c r="T13" t="str">
        <f t="shared" si="5"/>
        <v/>
      </c>
      <c r="U13" t="str">
        <f t="shared" si="6"/>
        <v/>
      </c>
      <c r="V13" t="str">
        <f t="shared" si="7"/>
        <v/>
      </c>
      <c r="W13" t="str">
        <f t="shared" si="8"/>
        <v/>
      </c>
      <c r="X13" t="str">
        <f t="shared" si="9"/>
        <v/>
      </c>
    </row>
    <row r="14" spans="1:24" x14ac:dyDescent="0.35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 t="shared" si="2"/>
        <v/>
      </c>
      <c r="P14" t="str">
        <f t="shared" si="3"/>
        <v/>
      </c>
      <c r="Q14" t="str">
        <f t="shared" si="10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 t="shared" si="4"/>
        <v/>
      </c>
      <c r="T14" t="str">
        <f t="shared" si="5"/>
        <v/>
      </c>
      <c r="U14" t="str">
        <f t="shared" si="6"/>
        <v/>
      </c>
      <c r="V14" t="str">
        <f t="shared" si="7"/>
        <v/>
      </c>
      <c r="W14" t="str">
        <f t="shared" si="8"/>
        <v/>
      </c>
      <c r="X14" t="str">
        <f t="shared" si="9"/>
        <v/>
      </c>
    </row>
    <row r="15" spans="1:24" x14ac:dyDescent="0.35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 t="shared" si="2"/>
        <v/>
      </c>
      <c r="P15" t="str">
        <f t="shared" si="3"/>
        <v/>
      </c>
      <c r="Q15" t="str">
        <f t="shared" si="10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 t="shared" si="4"/>
        <v/>
      </c>
      <c r="T15" t="str">
        <f t="shared" si="5"/>
        <v/>
      </c>
      <c r="U15" t="str">
        <f t="shared" si="6"/>
        <v/>
      </c>
      <c r="V15" t="str">
        <f t="shared" si="7"/>
        <v/>
      </c>
      <c r="W15" t="str">
        <f t="shared" si="8"/>
        <v/>
      </c>
      <c r="X15" t="str">
        <f t="shared" si="9"/>
        <v/>
      </c>
    </row>
    <row r="16" spans="1:24" x14ac:dyDescent="0.35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 t="shared" si="2"/>
        <v/>
      </c>
      <c r="P16" t="str">
        <f t="shared" si="3"/>
        <v/>
      </c>
      <c r="Q16" t="str">
        <f t="shared" si="10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 t="shared" si="4"/>
        <v/>
      </c>
      <c r="T16" t="str">
        <f t="shared" si="5"/>
        <v/>
      </c>
      <c r="U16" t="str">
        <f t="shared" si="6"/>
        <v/>
      </c>
      <c r="V16" t="str">
        <f t="shared" si="7"/>
        <v/>
      </c>
      <c r="W16" t="str">
        <f t="shared" si="8"/>
        <v/>
      </c>
      <c r="X16" t="str">
        <f t="shared" si="9"/>
        <v/>
      </c>
    </row>
    <row r="17" spans="3:24" x14ac:dyDescent="0.35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 t="shared" si="2"/>
        <v/>
      </c>
      <c r="P17" t="str">
        <f t="shared" si="3"/>
        <v/>
      </c>
      <c r="Q17" t="str">
        <f t="shared" si="10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 t="shared" si="4"/>
        <v/>
      </c>
      <c r="T17" t="str">
        <f t="shared" si="5"/>
        <v/>
      </c>
      <c r="U17" t="str">
        <f t="shared" si="6"/>
        <v/>
      </c>
      <c r="V17" t="str">
        <f t="shared" si="7"/>
        <v/>
      </c>
      <c r="W17" t="str">
        <f t="shared" si="8"/>
        <v/>
      </c>
      <c r="X17" t="str">
        <f t="shared" si="9"/>
        <v/>
      </c>
    </row>
    <row r="18" spans="3:24" x14ac:dyDescent="0.35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 t="shared" si="2"/>
        <v/>
      </c>
      <c r="P18" t="str">
        <f t="shared" si="3"/>
        <v/>
      </c>
      <c r="Q18" t="str">
        <f t="shared" si="10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 t="shared" si="4"/>
        <v/>
      </c>
      <c r="T18" t="str">
        <f t="shared" si="5"/>
        <v/>
      </c>
      <c r="U18" t="str">
        <f t="shared" si="6"/>
        <v/>
      </c>
      <c r="V18" t="str">
        <f t="shared" si="7"/>
        <v/>
      </c>
      <c r="W18" t="str">
        <f t="shared" si="8"/>
        <v/>
      </c>
      <c r="X18" t="str">
        <f t="shared" si="9"/>
        <v/>
      </c>
    </row>
    <row r="19" spans="3:24" x14ac:dyDescent="0.35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 t="shared" si="2"/>
        <v/>
      </c>
      <c r="P19" t="str">
        <f t="shared" si="3"/>
        <v/>
      </c>
      <c r="Q19" t="str">
        <f t="shared" si="10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 t="shared" si="4"/>
        <v/>
      </c>
      <c r="T19" t="str">
        <f t="shared" si="5"/>
        <v/>
      </c>
      <c r="U19" t="str">
        <f t="shared" si="6"/>
        <v/>
      </c>
      <c r="V19" t="str">
        <f t="shared" si="7"/>
        <v/>
      </c>
      <c r="W19" t="str">
        <f t="shared" si="8"/>
        <v/>
      </c>
      <c r="X19" t="str">
        <f t="shared" si="9"/>
        <v/>
      </c>
    </row>
    <row r="20" spans="3:24" x14ac:dyDescent="0.35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 t="shared" si="2"/>
        <v/>
      </c>
      <c r="P20" t="str">
        <f t="shared" si="3"/>
        <v/>
      </c>
      <c r="Q20" t="str">
        <f t="shared" si="10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 t="shared" si="4"/>
        <v/>
      </c>
      <c r="T20" t="str">
        <f t="shared" si="5"/>
        <v/>
      </c>
      <c r="U20" t="str">
        <f t="shared" si="6"/>
        <v/>
      </c>
      <c r="V20" t="str">
        <f t="shared" si="7"/>
        <v/>
      </c>
      <c r="W20" t="str">
        <f t="shared" si="8"/>
        <v/>
      </c>
      <c r="X20" t="str">
        <f t="shared" si="9"/>
        <v/>
      </c>
    </row>
    <row r="21" spans="3:24" x14ac:dyDescent="0.35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 t="shared" si="2"/>
        <v/>
      </c>
      <c r="P21" t="str">
        <f t="shared" si="3"/>
        <v/>
      </c>
      <c r="Q21" t="str">
        <f t="shared" si="10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 t="shared" si="4"/>
        <v/>
      </c>
      <c r="T21" t="str">
        <f t="shared" si="5"/>
        <v/>
      </c>
      <c r="U21" t="str">
        <f t="shared" si="6"/>
        <v/>
      </c>
      <c r="V21" t="str">
        <f t="shared" si="7"/>
        <v/>
      </c>
      <c r="W21" t="str">
        <f t="shared" si="8"/>
        <v/>
      </c>
      <c r="X21" t="str">
        <f t="shared" si="9"/>
        <v/>
      </c>
    </row>
    <row r="22" spans="3:24" x14ac:dyDescent="0.35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 t="shared" si="2"/>
        <v/>
      </c>
      <c r="P22" t="str">
        <f t="shared" si="3"/>
        <v/>
      </c>
      <c r="Q22" t="str">
        <f t="shared" si="10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 t="shared" si="4"/>
        <v/>
      </c>
      <c r="T22" t="str">
        <f t="shared" si="5"/>
        <v/>
      </c>
      <c r="U22" t="str">
        <f t="shared" si="6"/>
        <v/>
      </c>
      <c r="V22" t="str">
        <f t="shared" si="7"/>
        <v/>
      </c>
      <c r="W22" t="str">
        <f t="shared" si="8"/>
        <v/>
      </c>
      <c r="X22" t="str">
        <f t="shared" si="9"/>
        <v/>
      </c>
    </row>
    <row r="23" spans="3:24" x14ac:dyDescent="0.35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 t="shared" si="2"/>
        <v/>
      </c>
      <c r="P23" t="str">
        <f t="shared" si="3"/>
        <v/>
      </c>
      <c r="Q23" t="str">
        <f t="shared" si="10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 t="shared" si="4"/>
        <v/>
      </c>
      <c r="T23" t="str">
        <f t="shared" si="5"/>
        <v/>
      </c>
      <c r="U23" t="str">
        <f t="shared" si="6"/>
        <v/>
      </c>
      <c r="V23" t="str">
        <f t="shared" si="7"/>
        <v/>
      </c>
      <c r="W23" t="str">
        <f t="shared" si="8"/>
        <v/>
      </c>
      <c r="X23" t="str">
        <f t="shared" si="9"/>
        <v/>
      </c>
    </row>
    <row r="24" spans="3:24" x14ac:dyDescent="0.35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 t="shared" si="2"/>
        <v/>
      </c>
      <c r="P24" t="str">
        <f t="shared" si="3"/>
        <v/>
      </c>
      <c r="Q24" t="str">
        <f t="shared" si="10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 t="shared" si="4"/>
        <v/>
      </c>
      <c r="T24" t="str">
        <f t="shared" si="5"/>
        <v/>
      </c>
      <c r="U24" t="str">
        <f t="shared" si="6"/>
        <v/>
      </c>
      <c r="V24" t="str">
        <f t="shared" si="7"/>
        <v/>
      </c>
      <c r="W24" t="str">
        <f t="shared" si="8"/>
        <v/>
      </c>
      <c r="X24" t="str">
        <f t="shared" si="9"/>
        <v/>
      </c>
    </row>
    <row r="25" spans="3:24" x14ac:dyDescent="0.35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 t="shared" si="2"/>
        <v/>
      </c>
      <c r="P25" t="str">
        <f t="shared" si="3"/>
        <v/>
      </c>
      <c r="Q25" t="str">
        <f t="shared" si="10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 t="shared" si="4"/>
        <v/>
      </c>
      <c r="T25" t="str">
        <f t="shared" si="5"/>
        <v/>
      </c>
      <c r="U25" t="str">
        <f t="shared" si="6"/>
        <v/>
      </c>
      <c r="V25" t="str">
        <f t="shared" si="7"/>
        <v/>
      </c>
      <c r="W25" t="str">
        <f t="shared" si="8"/>
        <v/>
      </c>
      <c r="X25" t="str">
        <f t="shared" si="9"/>
        <v/>
      </c>
    </row>
    <row r="26" spans="3:24" x14ac:dyDescent="0.35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 t="shared" si="2"/>
        <v/>
      </c>
      <c r="P26" t="str">
        <f t="shared" si="3"/>
        <v/>
      </c>
      <c r="Q26" t="str">
        <f t="shared" si="10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 t="shared" si="4"/>
        <v/>
      </c>
      <c r="T26" t="str">
        <f t="shared" si="5"/>
        <v/>
      </c>
      <c r="U26" t="str">
        <f t="shared" si="6"/>
        <v/>
      </c>
      <c r="V26" t="str">
        <f t="shared" si="7"/>
        <v/>
      </c>
      <c r="W26" t="str">
        <f t="shared" si="8"/>
        <v/>
      </c>
      <c r="X26" t="str">
        <f t="shared" si="9"/>
        <v/>
      </c>
    </row>
    <row r="27" spans="3:24" x14ac:dyDescent="0.35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 t="shared" si="2"/>
        <v/>
      </c>
      <c r="P27" t="str">
        <f t="shared" si="3"/>
        <v/>
      </c>
      <c r="Q27" t="str">
        <f t="shared" si="10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 t="shared" si="4"/>
        <v/>
      </c>
      <c r="T27" t="str">
        <f t="shared" si="5"/>
        <v/>
      </c>
      <c r="U27" t="str">
        <f t="shared" si="6"/>
        <v/>
      </c>
      <c r="V27" t="str">
        <f t="shared" si="7"/>
        <v/>
      </c>
      <c r="W27" t="str">
        <f t="shared" si="8"/>
        <v/>
      </c>
      <c r="X27" t="str">
        <f t="shared" si="9"/>
        <v/>
      </c>
    </row>
    <row r="28" spans="3:24" x14ac:dyDescent="0.35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 t="shared" si="2"/>
        <v/>
      </c>
      <c r="P28" t="str">
        <f t="shared" si="3"/>
        <v/>
      </c>
      <c r="Q28" t="str">
        <f t="shared" si="10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 t="shared" si="4"/>
        <v/>
      </c>
      <c r="T28" t="str">
        <f t="shared" si="5"/>
        <v/>
      </c>
      <c r="U28" t="str">
        <f t="shared" si="6"/>
        <v/>
      </c>
      <c r="V28" t="str">
        <f t="shared" si="7"/>
        <v/>
      </c>
      <c r="W28" t="str">
        <f t="shared" si="8"/>
        <v/>
      </c>
      <c r="X28" t="str">
        <f t="shared" si="9"/>
        <v/>
      </c>
    </row>
    <row r="29" spans="3:24" x14ac:dyDescent="0.35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 t="shared" si="2"/>
        <v/>
      </c>
      <c r="P29" t="str">
        <f t="shared" si="3"/>
        <v/>
      </c>
      <c r="Q29" t="str">
        <f t="shared" si="10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 t="shared" si="4"/>
        <v/>
      </c>
      <c r="T29" t="str">
        <f t="shared" si="5"/>
        <v/>
      </c>
      <c r="U29" t="str">
        <f t="shared" si="6"/>
        <v/>
      </c>
      <c r="V29" t="str">
        <f t="shared" si="7"/>
        <v/>
      </c>
      <c r="W29" t="str">
        <f t="shared" si="8"/>
        <v/>
      </c>
      <c r="X29" t="str">
        <f t="shared" si="9"/>
        <v/>
      </c>
    </row>
    <row r="30" spans="3:24" x14ac:dyDescent="0.35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 t="shared" si="2"/>
        <v/>
      </c>
      <c r="P30" t="str">
        <f t="shared" si="3"/>
        <v/>
      </c>
      <c r="Q30" t="str">
        <f t="shared" si="10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 t="shared" si="4"/>
        <v/>
      </c>
      <c r="T30" t="str">
        <f t="shared" si="5"/>
        <v/>
      </c>
      <c r="U30" t="str">
        <f t="shared" si="6"/>
        <v/>
      </c>
      <c r="V30" t="str">
        <f t="shared" si="7"/>
        <v/>
      </c>
      <c r="W30" t="str">
        <f t="shared" si="8"/>
        <v/>
      </c>
      <c r="X30" t="str">
        <f t="shared" si="9"/>
        <v/>
      </c>
    </row>
    <row r="31" spans="3:24" x14ac:dyDescent="0.35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 t="shared" si="2"/>
        <v/>
      </c>
      <c r="P31" t="str">
        <f t="shared" si="3"/>
        <v/>
      </c>
      <c r="Q31" t="str">
        <f t="shared" si="10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 t="shared" si="4"/>
        <v/>
      </c>
      <c r="T31" t="str">
        <f t="shared" si="5"/>
        <v/>
      </c>
      <c r="U31" t="str">
        <f t="shared" si="6"/>
        <v/>
      </c>
      <c r="V31" t="str">
        <f t="shared" si="7"/>
        <v/>
      </c>
      <c r="W31" t="str">
        <f t="shared" si="8"/>
        <v/>
      </c>
      <c r="X31" t="str">
        <f t="shared" si="9"/>
        <v/>
      </c>
    </row>
    <row r="32" spans="3:24" x14ac:dyDescent="0.35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 t="shared" si="2"/>
        <v/>
      </c>
      <c r="P32" t="str">
        <f t="shared" si="3"/>
        <v/>
      </c>
      <c r="Q32" t="str">
        <f t="shared" si="10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 t="shared" si="4"/>
        <v/>
      </c>
      <c r="T32" t="str">
        <f t="shared" si="5"/>
        <v/>
      </c>
      <c r="U32" t="str">
        <f t="shared" si="6"/>
        <v/>
      </c>
      <c r="V32" t="str">
        <f t="shared" si="7"/>
        <v/>
      </c>
      <c r="W32" t="str">
        <f t="shared" si="8"/>
        <v/>
      </c>
      <c r="X32" t="str">
        <f t="shared" si="9"/>
        <v/>
      </c>
    </row>
    <row r="33" spans="3:24" x14ac:dyDescent="0.35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 t="shared" si="2"/>
        <v/>
      </c>
      <c r="P33" t="str">
        <f t="shared" si="3"/>
        <v/>
      </c>
      <c r="Q33" t="str">
        <f t="shared" si="10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 t="shared" si="4"/>
        <v/>
      </c>
      <c r="T33" t="str">
        <f t="shared" si="5"/>
        <v/>
      </c>
      <c r="U33" t="str">
        <f t="shared" si="6"/>
        <v/>
      </c>
      <c r="V33" t="str">
        <f t="shared" si="7"/>
        <v/>
      </c>
      <c r="W33" t="str">
        <f t="shared" si="8"/>
        <v/>
      </c>
      <c r="X33" t="str">
        <f t="shared" si="9"/>
        <v/>
      </c>
    </row>
    <row r="34" spans="3:24" x14ac:dyDescent="0.35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 t="shared" si="2"/>
        <v/>
      </c>
      <c r="P34" t="str">
        <f t="shared" si="3"/>
        <v/>
      </c>
      <c r="Q34" t="str">
        <f t="shared" si="10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 t="shared" si="4"/>
        <v/>
      </c>
      <c r="T34" t="str">
        <f t="shared" si="5"/>
        <v/>
      </c>
      <c r="U34" t="str">
        <f t="shared" si="6"/>
        <v/>
      </c>
      <c r="V34" t="str">
        <f t="shared" si="7"/>
        <v/>
      </c>
      <c r="W34" t="str">
        <f t="shared" si="8"/>
        <v/>
      </c>
      <c r="X34" t="str">
        <f t="shared" si="9"/>
        <v/>
      </c>
    </row>
    <row r="35" spans="3:24" x14ac:dyDescent="0.35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 t="shared" si="2"/>
        <v/>
      </c>
      <c r="P35" t="str">
        <f t="shared" si="3"/>
        <v/>
      </c>
      <c r="Q35" t="str">
        <f t="shared" si="10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 t="shared" si="4"/>
        <v/>
      </c>
      <c r="T35" t="str">
        <f t="shared" si="5"/>
        <v/>
      </c>
      <c r="U35" t="str">
        <f t="shared" si="6"/>
        <v/>
      </c>
      <c r="V35" t="str">
        <f t="shared" si="7"/>
        <v/>
      </c>
      <c r="W35" t="str">
        <f t="shared" si="8"/>
        <v/>
      </c>
      <c r="X35" t="str">
        <f t="shared" si="9"/>
        <v/>
      </c>
    </row>
    <row r="36" spans="3:24" x14ac:dyDescent="0.35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10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 t="shared" si="4"/>
        <v/>
      </c>
      <c r="T36" t="str">
        <f t="shared" si="5"/>
        <v/>
      </c>
      <c r="U36" t="str">
        <f t="shared" si="6"/>
        <v/>
      </c>
      <c r="V36" t="str">
        <f t="shared" si="7"/>
        <v/>
      </c>
      <c r="W36" t="str">
        <f t="shared" si="8"/>
        <v/>
      </c>
      <c r="X36" t="str">
        <f t="shared" si="9"/>
        <v/>
      </c>
    </row>
    <row r="37" spans="3:24" x14ac:dyDescent="0.35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 t="shared" si="2"/>
        <v/>
      </c>
      <c r="P37" t="str">
        <f t="shared" si="3"/>
        <v/>
      </c>
      <c r="Q37" t="str">
        <f t="shared" si="10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 t="shared" si="4"/>
        <v/>
      </c>
      <c r="T37" t="str">
        <f t="shared" si="5"/>
        <v/>
      </c>
      <c r="U37" t="str">
        <f t="shared" si="6"/>
        <v/>
      </c>
      <c r="V37" t="str">
        <f t="shared" si="7"/>
        <v/>
      </c>
      <c r="W37" t="str">
        <f t="shared" si="8"/>
        <v/>
      </c>
      <c r="X37" t="str">
        <f t="shared" si="9"/>
        <v/>
      </c>
    </row>
    <row r="38" spans="3:24" x14ac:dyDescent="0.35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 t="shared" si="2"/>
        <v/>
      </c>
      <c r="P38" t="str">
        <f t="shared" si="3"/>
        <v/>
      </c>
      <c r="Q38" t="str">
        <f t="shared" si="10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 t="shared" si="4"/>
        <v/>
      </c>
      <c r="T38" t="str">
        <f t="shared" si="5"/>
        <v/>
      </c>
      <c r="U38" t="str">
        <f t="shared" si="6"/>
        <v/>
      </c>
      <c r="V38" t="str">
        <f t="shared" si="7"/>
        <v/>
      </c>
      <c r="W38" t="str">
        <f t="shared" si="8"/>
        <v/>
      </c>
      <c r="X38" t="str">
        <f t="shared" si="9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4"/>
  <sheetViews>
    <sheetView tabSelected="1" workbookViewId="0">
      <selection activeCell="D22" sqref="D22"/>
    </sheetView>
  </sheetViews>
  <sheetFormatPr baseColWidth="10" defaultColWidth="8.7265625" defaultRowHeight="14.5" x14ac:dyDescent="0.35"/>
  <cols>
    <col min="1" max="1" width="18.7265625" customWidth="1"/>
    <col min="2" max="2" width="22.7265625" customWidth="1"/>
    <col min="3" max="3" width="27.54296875" customWidth="1"/>
    <col min="4" max="4" width="26.453125" customWidth="1"/>
    <col min="5" max="5" width="19.81640625" customWidth="1"/>
  </cols>
  <sheetData>
    <row r="1" spans="1:5" ht="17.5" x14ac:dyDescent="0.3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 x14ac:dyDescent="0.3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 x14ac:dyDescent="0.3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 x14ac:dyDescent="0.35">
      <c r="A4" s="7" t="s">
        <v>34</v>
      </c>
      <c r="B4" s="8" t="s">
        <v>35</v>
      </c>
      <c r="C4" s="8">
        <v>0</v>
      </c>
      <c r="D4" s="8">
        <v>0</v>
      </c>
      <c r="E4" s="8">
        <v>0</v>
      </c>
    </row>
    <row r="5" spans="1:5" x14ac:dyDescent="0.3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 x14ac:dyDescent="0.35">
      <c r="A6" s="7" t="s">
        <v>34</v>
      </c>
      <c r="B6" s="8" t="s">
        <v>37</v>
      </c>
      <c r="C6" s="8">
        <v>20</v>
      </c>
      <c r="D6" s="8">
        <v>20</v>
      </c>
      <c r="E6" s="8">
        <v>20</v>
      </c>
    </row>
    <row r="7" spans="1:5" x14ac:dyDescent="0.35">
      <c r="A7" s="7" t="s">
        <v>34</v>
      </c>
      <c r="B7" s="8" t="s">
        <v>38</v>
      </c>
      <c r="C7" s="8">
        <v>0</v>
      </c>
      <c r="D7" s="8">
        <v>0</v>
      </c>
      <c r="E7" s="8">
        <v>0</v>
      </c>
    </row>
    <row r="8" spans="1:5" x14ac:dyDescent="0.3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 x14ac:dyDescent="0.3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 x14ac:dyDescent="0.35">
      <c r="A10" s="7" t="s">
        <v>41</v>
      </c>
      <c r="B10" s="8" t="s">
        <v>42</v>
      </c>
      <c r="C10" s="8">
        <v>0</v>
      </c>
      <c r="D10" s="8">
        <v>0</v>
      </c>
      <c r="E10" s="8">
        <v>0</v>
      </c>
    </row>
    <row r="11" spans="1:5" x14ac:dyDescent="0.35">
      <c r="A11" s="7" t="s">
        <v>41</v>
      </c>
      <c r="B11" s="8" t="s">
        <v>43</v>
      </c>
      <c r="C11" s="8">
        <v>0</v>
      </c>
      <c r="D11" s="8">
        <v>0</v>
      </c>
      <c r="E11" s="8">
        <v>0</v>
      </c>
    </row>
    <row r="12" spans="1:5" x14ac:dyDescent="0.35">
      <c r="A12" s="7" t="s">
        <v>41</v>
      </c>
      <c r="B12" s="8" t="s">
        <v>44</v>
      </c>
      <c r="C12" s="8">
        <v>0</v>
      </c>
      <c r="D12" s="8">
        <v>0</v>
      </c>
      <c r="E12" s="8">
        <v>0</v>
      </c>
    </row>
    <row r="13" spans="1:5" x14ac:dyDescent="0.35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 x14ac:dyDescent="0.35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</sheetData>
  <dataValidations count="2">
    <dataValidation type="list" allowBlank="1" showInputMessage="1" showErrorMessage="1" sqref="A2:A14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baseColWidth="10" defaultColWidth="8.7265625" defaultRowHeight="14.5" x14ac:dyDescent="0.35"/>
  <cols>
    <col min="1" max="1" width="18.26953125" customWidth="1"/>
    <col min="2" max="2" width="74.453125" customWidth="1"/>
  </cols>
  <sheetData>
    <row r="1" spans="1:4" x14ac:dyDescent="0.35">
      <c r="A1" t="s">
        <v>47</v>
      </c>
      <c r="B1" t="s">
        <v>48</v>
      </c>
    </row>
    <row r="2" spans="1:4" x14ac:dyDescent="0.35">
      <c r="A2" t="s">
        <v>25</v>
      </c>
      <c r="B2" t="s">
        <v>49</v>
      </c>
      <c r="D2" t="str">
        <f>IF(C2&lt;&gt;"",VLOOKUP(C2,Tableau3[#All],2,0),"")</f>
        <v/>
      </c>
    </row>
    <row r="3" spans="1:4" x14ac:dyDescent="0.35">
      <c r="A3" t="s">
        <v>41</v>
      </c>
      <c r="B3" t="s">
        <v>50</v>
      </c>
    </row>
    <row r="4" spans="1:4" x14ac:dyDescent="0.35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Declaration</vt:lpstr>
      <vt:lpstr>Caractéristique navire de pêche</vt:lpstr>
      <vt:lpstr>adresse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Lauriane LV. VAILLANT</cp:lastModifiedBy>
  <cp:revision/>
  <dcterms:created xsi:type="dcterms:W3CDTF">2026-04-17T14:58:38Z</dcterms:created>
  <dcterms:modified xsi:type="dcterms:W3CDTF">2026-05-13T15:53:44Z</dcterms:modified>
  <cp:category/>
  <cp:contentStatus/>
</cp:coreProperties>
</file>