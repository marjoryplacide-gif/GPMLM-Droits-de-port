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Declaration" sheetId="1" state="visible" r:id="rId1"/>
    <sheet name="Caractéristique navire de pêche" sheetId="2" state="visible" r:id="rId2"/>
    <sheet name="adresse" sheetId="3" state="visible" r:id="rId3"/>
  </sheets>
  <externalReferences>
    <externalReference r:id="rId4"/>
  </externalReference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color rgb="FFFFFFFF"/>
      <sz val="12"/>
    </font>
    <font>
      <name val="Times New Roman"/>
      <color theme="1"/>
      <sz val="11"/>
    </font>
    <font>
      <name val="Times New Roman"/>
      <b val="1"/>
      <color rgb="FFFFFFFF"/>
      <sz val="14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dxfs count="26">
    <dxf>
      <font/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caract&#233;ristiques%20Navire%20de%20p&#234;che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ractéristiques Navire de pêch"/>
      <sheetName val="caractéristique navire de pêche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id="1" name="Tableau1" displayName="Tableau1" ref="A1:X38" headerRowCount="1" totalsRowShown="0">
  <autoFilter ref="A1:X38"/>
  <tableColumns count="24">
    <tableColumn id="7" name="Mouvement "/>
    <tableColumn id="23" name="Représentant "/>
    <tableColumn id="22" name="Adresse du représentant" dataDxfId="25">
      <calculatedColumnFormula>IF(B2&lt;&gt;"",VLOOKUP(B2,Tableau3[#All],2,0),"")</calculatedColumnFormula>
    </tableColumn>
    <tableColumn id="26" name="Type du navire" dataDxfId="24">
      <calculatedColumnFormula>IF(B2&lt;&gt;"","13","")</calculatedColumnFormula>
    </tableColumn>
    <tableColumn id="2" name="Nom du navire"/>
    <tableColumn id="3" name="Date d'entrée"/>
    <tableColumn id="4" name="Date de sortie " dataDxfId="23"/>
    <tableColumn id="5" name="Provenance " dataDxfId="22"/>
    <tableColumn id="6" name="Zone DN"/>
    <tableColumn id="8" name="Tonnage"/>
    <tableColumn id="12" name="Largueur " dataDxfId="21">
      <calculatedColumnFormula>IF(E2&lt;&gt;"",VLOOKUP(E2,'Caractéristique navire de pêche'!$B:$E,3,0),"")</calculatedColumnFormula>
    </tableColumn>
    <tableColumn id="13" name="Longueur " dataDxfId="20"/>
    <tableColumn id="11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name="Volumme Taxable " dataDxfId="18">
      <calculatedColumnFormula>IF(AND(K2&lt;&gt;"",L2&lt;&gt;"",M2&lt;&gt;""),ROUNDUP(L2*K2*M2,0),"")</calculatedColumnFormula>
    </tableColumn>
    <tableColumn id="10" name="Taux de base" dataDxfId="17">
      <calculatedColumnFormula>IF(A2&lt;&gt;"",IF(A2="Entrée",0.366,0.228),"")</calculatedColumnFormula>
    </tableColumn>
    <tableColumn id="14" name="Redevance Navire" dataDxfId="16">
      <calculatedColumnFormula>IF(AND(N2&lt;&gt;"",O2&lt;&gt;""),ROUNDUP(N2*O2,2),"")</calculatedColumnFormula>
    </tableColumn>
    <tableColumn id="17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name="Modulation cummulable (3)" dataDxfId="13">
      <calculatedColumnFormula>IF(E2&lt;&gt;"",0,"")</calculatedColumnFormula>
    </tableColumn>
    <tableColumn id="15" name="Redevance déchets" dataDxfId="12">
      <calculatedColumnFormula>IF(AND(E2&lt;&gt;"",A2="Entrée"),65,"")</calculatedColumnFormula>
    </tableColumn>
    <tableColumn id="18" name="Montant Brut" dataDxfId="11">
      <calculatedColumnFormula>IF(AND(P2&lt;&gt;"",Q2&lt;&gt;""),ROUNDUP(P2*(1+Q2),2),"")</calculatedColumnFormula>
    </tableColumn>
    <tableColumn id="19" name="Montant Net" dataDxfId="10">
      <calculatedColumnFormula>IF(U2&lt;&gt;"",U2+T2,"")</calculatedColumnFormula>
    </tableColumn>
    <tableColumn id="20" name="Montant à percevoir " dataDxfId="9">
      <calculatedColumnFormula>IF(V2&lt;&gt;"",IF(V2&lt;9,0,IF(V2&lt;=16,16,V2)),"")</calculatedColumnFormula>
    </tableColumn>
    <tableColumn id="21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au13" displayName="Tableau13" ref="A1:E15" headerRowCount="1" totalsRowShown="0" headerRowDxfId="7" headerRowBorderDxfId="6" totalsRowBorderDxfId="5">
  <autoFilter ref="A1:E15"/>
  <tableColumns count="5">
    <tableColumn id="1" name="Compagnie " dataDxfId="4"/>
    <tableColumn id="2" name="Nom du Navire " dataDxfId="3"/>
    <tableColumn id="3" name="Longueur hors tout (m)" dataDxfId="2"/>
    <tableColumn id="4" name="Largueur maximal (m)" dataDxfId="1"/>
    <tableColumn id="5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au3" displayName="Tableau3" ref="A1:B5" headerRowCount="1" totalsRowShown="0">
  <autoFilter ref="A1:B5"/>
  <tableColumns count="2">
    <tableColumn id="1" name="compagnie "/>
    <tableColumn id="2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"/>
  <sheetViews>
    <sheetView tabSelected="1" workbookViewId="0">
      <selection activeCell="D1" sqref="D1:D1048576"/>
    </sheetView>
  </sheetViews>
  <sheetFormatPr baseColWidth="8" defaultRowHeight="15"/>
  <cols>
    <col width="15.42578125" bestFit="1" customWidth="1" min="1" max="1"/>
    <col width="22.42578125" customWidth="1" min="2" max="2"/>
    <col width="48.85546875" customWidth="1" min="3" max="3"/>
    <col width="18.140625" customWidth="1" min="4" max="4"/>
    <col width="18.7109375" customWidth="1" min="5" max="5"/>
    <col width="16.28515625" bestFit="1" customWidth="1" min="6" max="6"/>
    <col width="17.140625" bestFit="1" customWidth="1" style="2" min="7" max="7"/>
    <col width="15.140625" bestFit="1" customWidth="1" style="2" min="8" max="8"/>
    <col width="12" bestFit="1" customWidth="1" min="9" max="9"/>
    <col width="11.7109375" bestFit="1" customWidth="1" min="10" max="10"/>
    <col width="13.5703125" bestFit="1" customWidth="1" min="11" max="12"/>
    <col width="14.28515625" bestFit="1" customWidth="1" min="13" max="13"/>
    <col width="21.7109375" bestFit="1" customWidth="1" min="14" max="14"/>
    <col width="16" bestFit="1" customWidth="1" min="15" max="15"/>
    <col width="20.85546875" bestFit="1" customWidth="1" min="16" max="16"/>
    <col width="32" bestFit="1" customWidth="1" min="17" max="17"/>
    <col width="32" customWidth="1" min="18" max="18"/>
    <col width="28" bestFit="1" customWidth="1" min="19" max="19"/>
    <col width="20.140625" bestFit="1" customWidth="1" min="20" max="20"/>
    <col width="16.85546875" bestFit="1" customWidth="1" min="21" max="21"/>
    <col width="15.7109375" bestFit="1" customWidth="1" min="22" max="22"/>
    <col width="21.85546875" bestFit="1" customWidth="1" min="23" max="23"/>
    <col width="17.140625" customWidth="1" min="24" max="24"/>
  </cols>
  <sheetData>
    <row r="1" ht="15.75" customHeight="1">
      <c r="A1" s="1" t="inlineStr">
        <is>
          <t xml:space="preserve">Mouvement </t>
        </is>
      </c>
      <c r="B1" s="1" t="inlineStr">
        <is>
          <t xml:space="preserve">Représentant </t>
        </is>
      </c>
      <c r="C1" s="1" t="inlineStr">
        <is>
          <t>Adresse du représentant</t>
        </is>
      </c>
      <c r="D1" s="1" t="inlineStr">
        <is>
          <t>Type du navire</t>
        </is>
      </c>
      <c r="E1" s="1" t="inlineStr">
        <is>
          <t>Nom du navire</t>
        </is>
      </c>
      <c r="F1" s="1" t="inlineStr">
        <is>
          <t>Date d'entrée</t>
        </is>
      </c>
      <c r="G1" s="1" t="inlineStr">
        <is>
          <t xml:space="preserve">Date de sortie </t>
        </is>
      </c>
      <c r="H1" s="1" t="inlineStr">
        <is>
          <t xml:space="preserve">Provenance </t>
        </is>
      </c>
      <c r="I1" s="1" t="inlineStr">
        <is>
          <t>Zone DN</t>
        </is>
      </c>
      <c r="J1" s="1" t="inlineStr">
        <is>
          <t>Tonnage</t>
        </is>
      </c>
      <c r="K1" s="1" t="inlineStr">
        <is>
          <t xml:space="preserve">Largueur </t>
        </is>
      </c>
      <c r="L1" s="1" t="inlineStr">
        <is>
          <t xml:space="preserve">Longueur </t>
        </is>
      </c>
      <c r="M1" t="inlineStr">
        <is>
          <t xml:space="preserve">Tirant d'eau </t>
        </is>
      </c>
      <c r="N1" s="1" t="inlineStr">
        <is>
          <t xml:space="preserve">Volumme Taxable </t>
        </is>
      </c>
      <c r="O1" s="1" t="inlineStr">
        <is>
          <t>Taux de base</t>
        </is>
      </c>
      <c r="P1" s="1" t="inlineStr">
        <is>
          <t>Redevance Navire</t>
        </is>
      </c>
      <c r="Q1" t="inlineStr">
        <is>
          <t>Modulation non cummulable (4)</t>
        </is>
      </c>
      <c r="R1" t="inlineStr">
        <is>
          <t xml:space="preserve">Abattement de fréquence </t>
        </is>
      </c>
      <c r="S1" t="inlineStr">
        <is>
          <t>Modulation cummulable (3)</t>
        </is>
      </c>
      <c r="T1" t="inlineStr">
        <is>
          <t>Redevance déchets</t>
        </is>
      </c>
      <c r="U1" s="1" t="inlineStr">
        <is>
          <t>Montant Brut</t>
        </is>
      </c>
      <c r="V1" s="1" t="inlineStr">
        <is>
          <t>Montant Net</t>
        </is>
      </c>
      <c r="W1" t="inlineStr">
        <is>
          <t xml:space="preserve">Montant à percevoir </t>
        </is>
      </c>
      <c r="X1" s="3" t="inlineStr">
        <is>
          <t>Montant Final</t>
        </is>
      </c>
    </row>
    <row r="2">
      <c r="A2" t="inlineStr">
        <is>
          <t>Entrée</t>
        </is>
      </c>
      <c r="B2" t="inlineStr">
        <is>
          <t>DSK Fish</t>
        </is>
      </c>
      <c r="C2">
        <f>IF(B2&lt;&gt;"",VLOOKUP(B2,Tableau3[#All],2,0),"")</f>
        <v/>
      </c>
      <c r="D2">
        <f>IF(B2&lt;&gt;"","13","")</f>
        <v/>
      </c>
      <c r="E2" t="inlineStr">
        <is>
          <t>MAYELEWO</t>
        </is>
      </c>
      <c r="J2" t="n">
        <v>2.684</v>
      </c>
      <c r="K2">
        <f>IF(E2&lt;&gt;"",VLOOKUP(E2,'Caractéristique navire de pêche'!$B:$E,3,0),"")</f>
        <v/>
      </c>
      <c r="L2">
        <f>IF(E2&lt;&gt;"",VLOOKUP(E2,'Caractéristique navire de pêche'!$B:$E,2,0),"")</f>
        <v/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/>
      </c>
      <c r="N2">
        <f>IF(AND(K2&lt;&gt;"",L2&lt;&gt;"",M2&lt;&gt;""),ROUNDUP(L2*K2*M2,0),"")</f>
        <v/>
      </c>
      <c r="O2">
        <f>IF(A2&lt;&gt;"",IF(A2="Entrée",0.366,0.228),"")</f>
        <v/>
      </c>
      <c r="P2">
        <f>IF(AND(N2&lt;&gt;"",O2&lt;&gt;""),ROUNDUP(N2*O2,2),"")</f>
        <v/>
      </c>
      <c r="Q2">
        <f>IF(AND(J2&lt;&gt;"",N2&lt;&gt;""),IF(J2/N2&gt;2/15,0,IF(J2/N2&gt;1/10,-0.1,IF(J2/N2&gt;1/20,-0.3,IF(J2/N2&gt;1/40,-0.5,IF(J2/N2&gt;1/100,-0.6,IF(J2/N2&gt;1/250,-0.7,IF(J2/N2&gt;1/500,-0.8,-0.95))))))),"")</f>
        <v/>
      </c>
      <c r="R2">
        <f t="array" ref="R2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/>
      </c>
      <c r="S2">
        <f>IF(E2&lt;&gt;"",0,"")</f>
        <v/>
      </c>
      <c r="T2">
        <f>IF(AND(E2&lt;&gt;"",A2="Entrée"),65,"")</f>
        <v/>
      </c>
      <c r="U2">
        <f>IF(AND(P2&lt;&gt;"",Q2&lt;&gt;""),ROUNDUP(P2*(1+Q2),2),"")</f>
        <v/>
      </c>
      <c r="V2">
        <f>IF(U2&lt;&gt;"",U2+T2,"")</f>
        <v/>
      </c>
      <c r="W2">
        <f>IF(V2&lt;&gt;"",IF(V2&lt;9,0,IF(V2&lt;=16,16,V2)),"")</f>
        <v/>
      </c>
      <c r="X2">
        <f>IF(W2&lt;&gt;"",W2,"")</f>
        <v/>
      </c>
    </row>
    <row r="3">
      <c r="C3">
        <f>IF(B3&lt;&gt;"",VLOOKUP(B3,Tableau3[#All],2,0),"")</f>
        <v/>
      </c>
      <c r="D3">
        <f>IF(B3&lt;&gt;"","13","")</f>
        <v/>
      </c>
      <c r="K3">
        <f>IF(E3&lt;&gt;"",VLOOKUP(E3,'Caractéristique navire de pêche'!$B:$E,3,0),"")</f>
        <v/>
      </c>
      <c r="M3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>
        <f>IF(AND(K3&lt;&gt;"",L3&lt;&gt;"",M3&lt;&gt;""),ROUNDUP(L3*K3*M3,0),"")</f>
        <v/>
      </c>
      <c r="O3">
        <f>IF(A3&lt;&gt;"",IF(A3="Entrée",0.366,0.228),"")</f>
        <v/>
      </c>
      <c r="P3">
        <f>IF(AND(N3&lt;&gt;"",O3&lt;&gt;""),ROUNDUP(N3*O3,2),"")</f>
        <v/>
      </c>
      <c r="Q3">
        <f>IF(AND(J3&lt;&gt;"",N3&lt;&gt;""),IF(J3/N3&gt;2/15,0,IF(J3/N3&gt;1/10,-0.1,IF(J3/N3&gt;1/20,-0.3,IF(J3/N3&gt;1/40,-0.5,IF(J3/N3&gt;1/100,-0.6,IF(J3/N3&gt;1/250,-0.7,IF(J3/N3&gt;1/500,-0.8,-0.95))))))),"")</f>
        <v/>
      </c>
      <c r="R3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>
        <f>IF(E3&lt;&gt;"",0,"")</f>
        <v/>
      </c>
      <c r="T3">
        <f>IF(AND(E3&lt;&gt;"",A3="Entrée"),65,"")</f>
        <v/>
      </c>
      <c r="U3">
        <f>IF(AND(P3&lt;&gt;"",Q3&lt;&gt;""),ROUNDUP(P3*(1+Q3),2),"")</f>
        <v/>
      </c>
      <c r="V3">
        <f>IF(U3&lt;&gt;"",U3+T3,"")</f>
        <v/>
      </c>
      <c r="W3">
        <f>IF(V3&lt;&gt;"",IF(V3&lt;9,0,IF(V3&lt;=16,16,V3)),"")</f>
        <v/>
      </c>
      <c r="X3">
        <f>IF(W3&lt;&gt;"",W3,"")</f>
        <v/>
      </c>
    </row>
    <row r="4">
      <c r="C4">
        <f>IF(B4&lt;&gt;"",VLOOKUP(B4,Tableau3[#All],2,0),"")</f>
        <v/>
      </c>
      <c r="D4">
        <f>IF(B4&lt;&gt;"","13","")</f>
        <v/>
      </c>
      <c r="K4">
        <f>IF(E4&lt;&gt;"",VLOOKUP(E4,'Caractéristique navire de pêche'!$B:$E,3,0),"")</f>
        <v/>
      </c>
      <c r="L4" t="inlineStr"/>
      <c r="M4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>
        <f>IF(AND(K4&lt;&gt;"",L4&lt;&gt;"",M4&lt;&gt;""),ROUNDUP(L4*K4*M4,0),"")</f>
        <v/>
      </c>
      <c r="O4">
        <f>IF(A4&lt;&gt;"",IF(A4="Entrée",0.366,0.228),"")</f>
        <v/>
      </c>
      <c r="P4">
        <f>IF(AND(N4&lt;&gt;"",O4&lt;&gt;""),ROUNDUP(N4*O4,2),"")</f>
        <v/>
      </c>
      <c r="Q4">
        <f>IF(AND(J4&lt;&gt;"",N4&lt;&gt;""),IF(J4/N4&gt;2/15,0,IF(J4/N4&gt;1/10,-0.1,IF(J4/N4&gt;1/20,-0.3,IF(J4/N4&gt;1/40,-0.5,IF(J4/N4&gt;1/100,-0.6,IF(J4/N4&gt;1/250,-0.7,IF(J4/N4&gt;1/500,-0.8,-0.95))))))),"")</f>
        <v/>
      </c>
      <c r="R4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>
        <f>IF(E4&lt;&gt;"",0,"")</f>
        <v/>
      </c>
      <c r="T4">
        <f>IF(AND(E4&lt;&gt;"",A4="Entrée"),65,"")</f>
        <v/>
      </c>
      <c r="U4">
        <f>IF(AND(P4&lt;&gt;"",Q4&lt;&gt;""),ROUNDUP(P4*(1+Q4),2),"")</f>
        <v/>
      </c>
      <c r="V4">
        <f>IF(U4&lt;&gt;"",U4+T4,"")</f>
        <v/>
      </c>
      <c r="W4">
        <f>IF(V4&lt;&gt;"",IF(V4&lt;9,0,IF(V4&lt;=16,16,V4)),"")</f>
        <v/>
      </c>
      <c r="X4">
        <f>IF(W4&lt;&gt;"",W4,"")</f>
        <v/>
      </c>
    </row>
    <row r="5">
      <c r="C5">
        <f>IF(B5&lt;&gt;"",VLOOKUP(B5,Tableau3[#All],2,0),"")</f>
        <v/>
      </c>
      <c r="D5">
        <f>IF(B5&lt;&gt;"","13","")</f>
        <v/>
      </c>
      <c r="K5">
        <f>IF(E5&lt;&gt;"",VLOOKUP(E5,'Caractéristique navire de pêche'!$B:$E,3,0),"")</f>
        <v/>
      </c>
      <c r="L5" t="inlineStr"/>
      <c r="M5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>
        <f>IF(AND(K5&lt;&gt;"",L5&lt;&gt;"",M5&lt;&gt;""),ROUNDUP(L5*K5*M5,0),"")</f>
        <v/>
      </c>
      <c r="O5">
        <f>IF(A5&lt;&gt;"",IF(A5="Entrée",0.366,0.228),"")</f>
        <v/>
      </c>
      <c r="P5">
        <f>IF(AND(N5&lt;&gt;"",O5&lt;&gt;""),ROUNDUP(N5*O5,2),"")</f>
        <v/>
      </c>
      <c r="Q5">
        <f>IF(AND(J5&lt;&gt;"",N5&lt;&gt;""),IF(J5/N5&gt;2/15,0,IF(J5/N5&gt;1/10,-0.1,IF(J5/N5&gt;1/20,-0.3,IF(J5/N5&gt;1/40,-0.5,IF(J5/N5&gt;1/100,-0.6,IF(J5/N5&gt;1/250,-0.7,IF(J5/N5&gt;1/500,-0.8,-0.95))))))),"")</f>
        <v/>
      </c>
      <c r="R5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>
        <f>IF(E5&lt;&gt;"",0,"")</f>
        <v/>
      </c>
      <c r="T5">
        <f>IF(AND(E5&lt;&gt;"",A5="Entrée"),65,"")</f>
        <v/>
      </c>
      <c r="U5">
        <f>IF(AND(P5&lt;&gt;"",Q5&lt;&gt;""),ROUNDUP(P5*(1+Q5),2),"")</f>
        <v/>
      </c>
      <c r="V5">
        <f>IF(U5&lt;&gt;"",U5+T5,"")</f>
        <v/>
      </c>
      <c r="W5">
        <f>IF(V5&lt;&gt;"",IF(V5&lt;9,0,IF(V5&lt;=16,16,V5)),"")</f>
        <v/>
      </c>
      <c r="X5">
        <f>IF(W5&lt;&gt;"",W5,"")</f>
        <v/>
      </c>
    </row>
    <row r="6">
      <c r="C6">
        <f>IF(B6&lt;&gt;"",VLOOKUP(B6,Tableau3[#All],2,0),"")</f>
        <v/>
      </c>
      <c r="D6">
        <f>IF(B6&lt;&gt;"","13","")</f>
        <v/>
      </c>
      <c r="K6">
        <f>IF(E6&lt;&gt;"",VLOOKUP(E6,'Caractéristique navire de pêche'!$B:$E,3,0),"")</f>
        <v/>
      </c>
      <c r="L6" t="inlineStr"/>
      <c r="M6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>
        <f>IF(AND(K6&lt;&gt;"",L6&lt;&gt;"",M6&lt;&gt;""),ROUNDUP(L6*K6*M6,0),"")</f>
        <v/>
      </c>
      <c r="O6">
        <f>IF(A6&lt;&gt;"",IF(A6="Entrée",0.366,0.228),"")</f>
        <v/>
      </c>
      <c r="P6">
        <f>IF(AND(N6&lt;&gt;"",O6&lt;&gt;""),ROUNDUP(N6*O6,2),"")</f>
        <v/>
      </c>
      <c r="Q6">
        <f>IF(AND(J6&lt;&gt;"",N6&lt;&gt;""),IF(J6/N6&gt;2/15,0,IF(J6/N6&gt;1/10,-0.1,IF(J6/N6&gt;1/20,-0.3,IF(J6/N6&gt;1/40,-0.5,IF(J6/N6&gt;1/100,-0.6,IF(J6/N6&gt;1/250,-0.7,IF(J6/N6&gt;1/500,-0.8,-0.95))))))),"")</f>
        <v/>
      </c>
      <c r="R6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>
        <f>IF(E6&lt;&gt;"",0,"")</f>
        <v/>
      </c>
      <c r="T6">
        <f>IF(AND(E6&lt;&gt;"",A6="Entrée"),65,"")</f>
        <v/>
      </c>
      <c r="U6">
        <f>IF(AND(P6&lt;&gt;"",Q6&lt;&gt;""),ROUNDUP(P6*(1+Q6),2),"")</f>
        <v/>
      </c>
      <c r="V6">
        <f>IF(U6&lt;&gt;"",U6+T6,"")</f>
        <v/>
      </c>
      <c r="W6">
        <f>IF(V6&lt;&gt;"",IF(V6&lt;9,0,IF(V6&lt;=16,16,V6)),"")</f>
        <v/>
      </c>
      <c r="X6">
        <f>IF(W6&lt;&gt;"",W6,"")</f>
        <v/>
      </c>
    </row>
    <row r="7">
      <c r="C7">
        <f>IF(B7&lt;&gt;"",VLOOKUP(B7,Tableau3[#All],2,0),"")</f>
        <v/>
      </c>
      <c r="D7">
        <f>IF(B7&lt;&gt;"","13","")</f>
        <v/>
      </c>
      <c r="K7">
        <f>IF(E7&lt;&gt;"",VLOOKUP(E7,'Caractéristique navire de pêche'!$B:$E,3,0),"")</f>
        <v/>
      </c>
      <c r="L7" t="inlineStr"/>
      <c r="M7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>
        <f>IF(AND(K7&lt;&gt;"",L7&lt;&gt;"",M7&lt;&gt;""),ROUNDUP(L7*K7*M7,0),"")</f>
        <v/>
      </c>
      <c r="O7">
        <f>IF(A7&lt;&gt;"",IF(A7="Entrée",0.366,0.228),"")</f>
        <v/>
      </c>
      <c r="P7">
        <f>IF(AND(N7&lt;&gt;"",O7&lt;&gt;""),ROUNDUP(N7*O7,2),"")</f>
        <v/>
      </c>
      <c r="Q7">
        <f>IF(AND(J7&lt;&gt;"",N7&lt;&gt;""),IF(J7/N7&gt;2/15,0,IF(J7/N7&gt;1/10,-0.1,IF(J7/N7&gt;1/20,-0.3,IF(J7/N7&gt;1/40,-0.5,IF(J7/N7&gt;1/100,-0.6,IF(J7/N7&gt;1/250,-0.7,IF(J7/N7&gt;1/500,-0.8,-0.95))))))),"")</f>
        <v/>
      </c>
      <c r="R7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>
        <f>IF(E7&lt;&gt;"",0,"")</f>
        <v/>
      </c>
      <c r="T7">
        <f>IF(AND(E7&lt;&gt;"",A7="Entrée"),65,"")</f>
        <v/>
      </c>
      <c r="U7">
        <f>IF(AND(P7&lt;&gt;"",Q7&lt;&gt;""),ROUNDUP(P7*(1+Q7),2),"")</f>
        <v/>
      </c>
      <c r="V7">
        <f>IF(U7&lt;&gt;"",U7+T7,"")</f>
        <v/>
      </c>
      <c r="W7">
        <f>IF(V7&lt;&gt;"",IF(V7&lt;9,0,IF(V7&lt;=16,16,V7)),"")</f>
        <v/>
      </c>
      <c r="X7">
        <f>IF(W7&lt;&gt;"",W7,"")</f>
        <v/>
      </c>
    </row>
    <row r="8">
      <c r="C8">
        <f>IF(B8&lt;&gt;"",VLOOKUP(B8,Tableau3[#All],2,0),"")</f>
        <v/>
      </c>
      <c r="D8">
        <f>IF(B8&lt;&gt;"","13","")</f>
        <v/>
      </c>
      <c r="K8">
        <f>IF(E8&lt;&gt;"",VLOOKUP(E8,'Caractéristique navire de pêche'!$B:$E,3,0),"")</f>
        <v/>
      </c>
      <c r="L8" t="inlineStr"/>
      <c r="M8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>
        <f>IF(AND(K8&lt;&gt;"",L8&lt;&gt;"",M8&lt;&gt;""),ROUNDUP(L8*K8*M8,0),"")</f>
        <v/>
      </c>
      <c r="O8">
        <f>IF(A8&lt;&gt;"",IF(A8="Entrée",0.366,0.228),"")</f>
        <v/>
      </c>
      <c r="P8">
        <f>IF(AND(N8&lt;&gt;"",O8&lt;&gt;""),ROUNDUP(N8*O8,2),"")</f>
        <v/>
      </c>
      <c r="Q8">
        <f>IF(AND(J8&lt;&gt;"",N8&lt;&gt;""),IF(J8/N8&gt;2/15,0,IF(J8/N8&gt;1/10,-0.1,IF(J8/N8&gt;1/20,-0.3,IF(J8/N8&gt;1/40,-0.5,IF(J8/N8&gt;1/100,-0.6,IF(J8/N8&gt;1/250,-0.7,IF(J8/N8&gt;1/500,-0.8,-0.95))))))),"")</f>
        <v/>
      </c>
      <c r="R8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>
        <f>IF(E8&lt;&gt;"",0,"")</f>
        <v/>
      </c>
      <c r="T8">
        <f>IF(AND(E8&lt;&gt;"",A8="Entrée"),65,"")</f>
        <v/>
      </c>
      <c r="U8">
        <f>IF(AND(P8&lt;&gt;"",Q8&lt;&gt;""),ROUNDUP(P8*(1+Q8),2),"")</f>
        <v/>
      </c>
      <c r="V8">
        <f>IF(U8&lt;&gt;"",U8+T8,"")</f>
        <v/>
      </c>
      <c r="W8">
        <f>IF(V8&lt;&gt;"",IF(V8&lt;9,0,IF(V8&lt;=16,16,V8)),"")</f>
        <v/>
      </c>
      <c r="X8">
        <f>IF(W8&lt;&gt;"",W8,"")</f>
        <v/>
      </c>
    </row>
    <row r="9">
      <c r="C9">
        <f>IF(B9&lt;&gt;"",VLOOKUP(B9,Tableau3[#All],2,0),"")</f>
        <v/>
      </c>
      <c r="D9">
        <f>IF(B9&lt;&gt;"","13","")</f>
        <v/>
      </c>
      <c r="K9">
        <f>IF(E9&lt;&gt;"",VLOOKUP(E9,'Caractéristique navire de pêche'!$B:$E,3,0),"")</f>
        <v/>
      </c>
      <c r="L9" t="inlineStr"/>
      <c r="M9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>
        <f>IF(AND(K9&lt;&gt;"",L9&lt;&gt;"",M9&lt;&gt;""),ROUNDUP(L9*K9*M9,0),"")</f>
        <v/>
      </c>
      <c r="O9">
        <f>IF(A9&lt;&gt;"",IF(A9="Entrée",0.366,0.228),"")</f>
        <v/>
      </c>
      <c r="P9">
        <f>IF(AND(N9&lt;&gt;"",O9&lt;&gt;""),ROUNDUP(N9*O9,2),"")</f>
        <v/>
      </c>
      <c r="Q9">
        <f>IF(AND(J9&lt;&gt;"",N9&lt;&gt;""),IF(J9/N9&gt;2/15,0,IF(J9/N9&gt;1/10,-0.1,IF(J9/N9&gt;1/20,-0.3,IF(J9/N9&gt;1/40,-0.5,IF(J9/N9&gt;1/100,-0.6,IF(J9/N9&gt;1/250,-0.7,IF(J9/N9&gt;1/500,-0.8,-0.95))))))),"")</f>
        <v/>
      </c>
      <c r="R9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>
        <f>IF(E9&lt;&gt;"",0,"")</f>
        <v/>
      </c>
      <c r="T9">
        <f>IF(AND(E9&lt;&gt;"",A9="Entrée"),65,"")</f>
        <v/>
      </c>
      <c r="U9">
        <f>IF(AND(P9&lt;&gt;"",Q9&lt;&gt;""),ROUNDUP(P9*(1+Q9),2),"")</f>
        <v/>
      </c>
      <c r="V9">
        <f>IF(U9&lt;&gt;"",U9+T9,"")</f>
        <v/>
      </c>
      <c r="W9">
        <f>IF(V9&lt;&gt;"",IF(V9&lt;9,0,IF(V9&lt;=16,16,V9)),"")</f>
        <v/>
      </c>
      <c r="X9">
        <f>IF(W9&lt;&gt;"",W9,"")</f>
        <v/>
      </c>
    </row>
    <row r="10">
      <c r="C10">
        <f>IF(B10&lt;&gt;"",VLOOKUP(B10,Tableau3[#All],2,0),"")</f>
        <v/>
      </c>
      <c r="D10">
        <f>IF(B10&lt;&gt;"","13","")</f>
        <v/>
      </c>
      <c r="K10">
        <f>IF(E10&lt;&gt;"",VLOOKUP(E10,'Caractéristique navire de pêche'!$B:$E,3,0),"")</f>
        <v/>
      </c>
      <c r="L10" t="inlineStr"/>
      <c r="M10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>
        <f>IF(AND(K10&lt;&gt;"",L10&lt;&gt;"",M10&lt;&gt;""),ROUNDUP(L10*K10*M10,0),"")</f>
        <v/>
      </c>
      <c r="O10">
        <f>IF(A10&lt;&gt;"",IF(A10="Entrée",0.366,0.228),"")</f>
        <v/>
      </c>
      <c r="P10">
        <f>IF(AND(N10&lt;&gt;"",O10&lt;&gt;""),ROUNDUP(N10*O10,2),"")</f>
        <v/>
      </c>
      <c r="Q10">
        <f>IF(AND(J10&lt;&gt;"",N10&lt;&gt;""),IF(J10/N10&gt;2/15,0,IF(J10/N10&gt;1/10,-0.1,IF(J10/N10&gt;1/20,-0.3,IF(J10/N10&gt;1/40,-0.5,IF(J10/N10&gt;1/100,-0.6,IF(J10/N10&gt;1/250,-0.7,IF(J10/N10&gt;1/500,-0.8,-0.95))))))),"")</f>
        <v/>
      </c>
      <c r="R10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>
        <f>IF(E10&lt;&gt;"",0,"")</f>
        <v/>
      </c>
      <c r="T10">
        <f>IF(AND(E10&lt;&gt;"",A10="Entrée"),65,"")</f>
        <v/>
      </c>
      <c r="U10">
        <f>IF(AND(P10&lt;&gt;"",Q10&lt;&gt;""),ROUNDUP(P10*(1+Q10),2),"")</f>
        <v/>
      </c>
      <c r="V10">
        <f>IF(U10&lt;&gt;"",U10+T10,"")</f>
        <v/>
      </c>
      <c r="W10">
        <f>IF(V10&lt;&gt;"",IF(V10&lt;9,0,IF(V10&lt;=16,16,V10)),"")</f>
        <v/>
      </c>
      <c r="X10">
        <f>IF(W10&lt;&gt;"",W10,"")</f>
        <v/>
      </c>
    </row>
    <row r="11">
      <c r="C11">
        <f>IF(B11&lt;&gt;"",VLOOKUP(B11,Tableau3[#All],2,0),"")</f>
        <v/>
      </c>
      <c r="D11">
        <f>IF(B11&lt;&gt;"","13","")</f>
        <v/>
      </c>
      <c r="K11">
        <f>IF(E11&lt;&gt;"",VLOOKUP(E11,'Caractéristique navire de pêche'!$B:$E,3,0),"")</f>
        <v/>
      </c>
      <c r="L11" t="inlineStr"/>
      <c r="M11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>
        <f>IF(AND(K11&lt;&gt;"",L11&lt;&gt;"",M11&lt;&gt;""),ROUNDUP(L11*K11*M11,0),"")</f>
        <v/>
      </c>
      <c r="O11">
        <f>IF(A11&lt;&gt;"",IF(A11="Entrée",0.366,0.228),"")</f>
        <v/>
      </c>
      <c r="P11">
        <f>IF(AND(N11&lt;&gt;"",O11&lt;&gt;""),ROUNDUP(N11*O11,2),"")</f>
        <v/>
      </c>
      <c r="Q11">
        <f>IF(AND(J11&lt;&gt;"",N11&lt;&gt;""),IF(J11/N11&gt;2/15,0,IF(J11/N11&gt;1/10,-0.1,IF(J11/N11&gt;1/20,-0.3,IF(J11/N11&gt;1/40,-0.5,IF(J11/N11&gt;1/100,-0.6,IF(J11/N11&gt;1/250,-0.7,IF(J11/N11&gt;1/500,-0.8,-0.95))))))),"")</f>
        <v/>
      </c>
      <c r="R1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>
        <f>IF(E11&lt;&gt;"",0,"")</f>
        <v/>
      </c>
      <c r="T11">
        <f>IF(AND(E11&lt;&gt;"",A11="Entrée"),65,"")</f>
        <v/>
      </c>
      <c r="U11">
        <f>IF(AND(P11&lt;&gt;"",Q11&lt;&gt;""),ROUNDUP(P11*(1+Q11),2),"")</f>
        <v/>
      </c>
      <c r="V11">
        <f>IF(U11&lt;&gt;"",U11+T11,"")</f>
        <v/>
      </c>
      <c r="W11">
        <f>IF(V11&lt;&gt;"",IF(V11&lt;9,0,IF(V11&lt;=16,16,V11)),"")</f>
        <v/>
      </c>
      <c r="X11">
        <f>IF(W11&lt;&gt;"",W11,"")</f>
        <v/>
      </c>
    </row>
    <row r="12">
      <c r="C12">
        <f>IF(B12&lt;&gt;"",VLOOKUP(B12,Tableau3[#All],2,0),"")</f>
        <v/>
      </c>
      <c r="D12">
        <f>IF(B12&lt;&gt;"","13","")</f>
        <v/>
      </c>
      <c r="K12">
        <f>IF(E12&lt;&gt;"",VLOOKUP(E12,'Caractéristique navire de pêche'!$B:$E,3,0),"")</f>
        <v/>
      </c>
      <c r="L12" t="inlineStr"/>
      <c r="M12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>
        <f>IF(AND(K12&lt;&gt;"",L12&lt;&gt;"",M12&lt;&gt;""),ROUNDUP(L12*K12*M12,0),"")</f>
        <v/>
      </c>
      <c r="O12">
        <f>IF(A12&lt;&gt;"",IF(A12="Entrée",0.366,0.228),"")</f>
        <v/>
      </c>
      <c r="P12">
        <f>IF(AND(N12&lt;&gt;"",O12&lt;&gt;""),ROUNDUP(N12*O12,2),"")</f>
        <v/>
      </c>
      <c r="Q12">
        <f>IF(AND(J12&lt;&gt;"",N12&lt;&gt;""),IF(J12/N12&gt;2/15,0,IF(J12/N12&gt;1/10,-0.1,IF(J12/N12&gt;1/20,-0.3,IF(J12/N12&gt;1/40,-0.5,IF(J12/N12&gt;1/100,-0.6,IF(J12/N12&gt;1/250,-0.7,IF(J12/N12&gt;1/500,-0.8,-0.95))))))),"")</f>
        <v/>
      </c>
      <c r="R12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>
        <f>IF(E12&lt;&gt;"",0,"")</f>
        <v/>
      </c>
      <c r="T12">
        <f>IF(AND(E12&lt;&gt;"",A12="Entrée"),65,"")</f>
        <v/>
      </c>
      <c r="U12">
        <f>IF(AND(P12&lt;&gt;"",Q12&lt;&gt;""),ROUNDUP(P12*(1+Q12),2),"")</f>
        <v/>
      </c>
      <c r="V12">
        <f>IF(U12&lt;&gt;"",U12+T12,"")</f>
        <v/>
      </c>
      <c r="W12">
        <f>IF(V12&lt;&gt;"",IF(V12&lt;9,0,IF(V12&lt;=16,16,V12)),"")</f>
        <v/>
      </c>
      <c r="X12">
        <f>IF(W12&lt;&gt;"",W12,"")</f>
        <v/>
      </c>
    </row>
    <row r="13">
      <c r="C13">
        <f>IF(B13&lt;&gt;"",VLOOKUP(B13,Tableau3[#All],2,0),"")</f>
        <v/>
      </c>
      <c r="D13">
        <f>IF(B13&lt;&gt;"","13","")</f>
        <v/>
      </c>
      <c r="K13">
        <f>IF(E13&lt;&gt;"",VLOOKUP(E13,'Caractéristique navire de pêche'!$B:$E,3,0),"")</f>
        <v/>
      </c>
      <c r="L13" t="inlineStr"/>
      <c r="M13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>
        <f>IF(AND(K13&lt;&gt;"",L13&lt;&gt;"",M13&lt;&gt;""),ROUNDUP(L13*K13*M13,0),"")</f>
        <v/>
      </c>
      <c r="O13">
        <f>IF(A13&lt;&gt;"",IF(A13="Entrée",0.366,0.228),"")</f>
        <v/>
      </c>
      <c r="P13">
        <f>IF(AND(N13&lt;&gt;"",O13&lt;&gt;""),ROUNDUP(N13*O13,2),"")</f>
        <v/>
      </c>
      <c r="Q13">
        <f>IF(AND(J13&lt;&gt;"",N13&lt;&gt;""),IF(J13/N13&gt;2/15,0,IF(J13/N13&gt;1/10,-0.1,IF(J13/N13&gt;1/20,-0.3,IF(J13/N13&gt;1/40,-0.5,IF(J13/N13&gt;1/100,-0.6,IF(J13/N13&gt;1/250,-0.7,IF(J13/N13&gt;1/500,-0.8,-0.95))))))),"")</f>
        <v/>
      </c>
      <c r="R13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>
        <f>IF(E13&lt;&gt;"",0,"")</f>
        <v/>
      </c>
      <c r="T13">
        <f>IF(AND(E13&lt;&gt;"",A13="Entrée"),65,"")</f>
        <v/>
      </c>
      <c r="U13">
        <f>IF(AND(P13&lt;&gt;"",Q13&lt;&gt;""),ROUNDUP(P13*(1+Q13),2),"")</f>
        <v/>
      </c>
      <c r="V13">
        <f>IF(U13&lt;&gt;"",U13+T13,"")</f>
        <v/>
      </c>
      <c r="W13">
        <f>IF(V13&lt;&gt;"",IF(V13&lt;9,0,IF(V13&lt;=16,16,V13)),"")</f>
        <v/>
      </c>
      <c r="X13">
        <f>IF(W13&lt;&gt;"",W13,"")</f>
        <v/>
      </c>
    </row>
    <row r="14">
      <c r="C14">
        <f>IF(B14&lt;&gt;"",VLOOKUP(B14,Tableau3[#All],2,0),"")</f>
        <v/>
      </c>
      <c r="D14">
        <f>IF(B14&lt;&gt;"","13","")</f>
        <v/>
      </c>
      <c r="K14">
        <f>IF(E14&lt;&gt;"",VLOOKUP(E14,'Caractéristique navire de pêche'!$B:$E,3,0),"")</f>
        <v/>
      </c>
      <c r="L14" t="inlineStr"/>
      <c r="M14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>
        <f>IF(AND(K14&lt;&gt;"",L14&lt;&gt;"",M14&lt;&gt;""),ROUNDUP(L14*K14*M14,0),"")</f>
        <v/>
      </c>
      <c r="O14">
        <f>IF(A14&lt;&gt;"",IF(A14="Entrée",0.366,0.228),"")</f>
        <v/>
      </c>
      <c r="P14">
        <f>IF(AND(N14&lt;&gt;"",O14&lt;&gt;""),ROUNDUP(N14*O14,2),"")</f>
        <v/>
      </c>
      <c r="Q14">
        <f>IF(AND(J14&lt;&gt;"",N14&lt;&gt;""),IF(J14/N14&gt;2/15,0,IF(J14/N14&gt;1/10,-0.1,IF(J14/N14&gt;1/20,-0.3,IF(J14/N14&gt;1/40,-0.5,IF(J14/N14&gt;1/100,-0.6,IF(J14/N14&gt;1/250,-0.7,IF(J14/N14&gt;1/500,-0.8,-0.95))))))),"")</f>
        <v/>
      </c>
      <c r="R14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>
        <f>IF(E14&lt;&gt;"",0,"")</f>
        <v/>
      </c>
      <c r="T14">
        <f>IF(AND(E14&lt;&gt;"",A14="Entrée"),65,"")</f>
        <v/>
      </c>
      <c r="U14">
        <f>IF(AND(P14&lt;&gt;"",Q14&lt;&gt;""),ROUNDUP(P14*(1+Q14),2),"")</f>
        <v/>
      </c>
      <c r="V14">
        <f>IF(U14&lt;&gt;"",U14+T14,"")</f>
        <v/>
      </c>
      <c r="W14">
        <f>IF(V14&lt;&gt;"",IF(V14&lt;9,0,IF(V14&lt;=16,16,V14)),"")</f>
        <v/>
      </c>
      <c r="X14">
        <f>IF(W14&lt;&gt;"",W14,"")</f>
        <v/>
      </c>
    </row>
    <row r="15">
      <c r="C15">
        <f>IF(B15&lt;&gt;"",VLOOKUP(B15,Tableau3[#All],2,0),"")</f>
        <v/>
      </c>
      <c r="D15">
        <f>IF(B15&lt;&gt;"","13","")</f>
        <v/>
      </c>
      <c r="K15">
        <f>IF(E15&lt;&gt;"",VLOOKUP(E15,'Caractéristique navire de pêche'!$B:$E,3,0),"")</f>
        <v/>
      </c>
      <c r="L15" t="inlineStr"/>
      <c r="M15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>
        <f>IF(AND(K15&lt;&gt;"",L15&lt;&gt;"",M15&lt;&gt;""),ROUNDUP(L15*K15*M15,0),"")</f>
        <v/>
      </c>
      <c r="O15">
        <f>IF(A15&lt;&gt;"",IF(A15="Entrée",0.366,0.228),"")</f>
        <v/>
      </c>
      <c r="P15">
        <f>IF(AND(N15&lt;&gt;"",O15&lt;&gt;""),ROUNDUP(N15*O15,2),"")</f>
        <v/>
      </c>
      <c r="Q15">
        <f>IF(AND(J15&lt;&gt;"",N15&lt;&gt;""),IF(J15/N15&gt;2/15,0,IF(J15/N15&gt;1/10,-0.1,IF(J15/N15&gt;1/20,-0.3,IF(J15/N15&gt;1/40,-0.5,IF(J15/N15&gt;1/100,-0.6,IF(J15/N15&gt;1/250,-0.7,IF(J15/N15&gt;1/500,-0.8,-0.95))))))),"")</f>
        <v/>
      </c>
      <c r="R15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>
        <f>IF(E15&lt;&gt;"",0,"")</f>
        <v/>
      </c>
      <c r="T15">
        <f>IF(AND(E15&lt;&gt;"",A15="Entrée"),65,"")</f>
        <v/>
      </c>
      <c r="U15">
        <f>IF(AND(P15&lt;&gt;"",Q15&lt;&gt;""),ROUNDUP(P15*(1+Q15),2),"")</f>
        <v/>
      </c>
      <c r="V15">
        <f>IF(U15&lt;&gt;"",U15+T15,"")</f>
        <v/>
      </c>
      <c r="W15">
        <f>IF(V15&lt;&gt;"",IF(V15&lt;9,0,IF(V15&lt;=16,16,V15)),"")</f>
        <v/>
      </c>
      <c r="X15">
        <f>IF(W15&lt;&gt;"",W15,"")</f>
        <v/>
      </c>
    </row>
    <row r="16">
      <c r="C16">
        <f>IF(B16&lt;&gt;"",VLOOKUP(B16,Tableau3[#All],2,0),"")</f>
        <v/>
      </c>
      <c r="D16">
        <f>IF(B16&lt;&gt;"","13","")</f>
        <v/>
      </c>
      <c r="K16">
        <f>IF(E16&lt;&gt;"",VLOOKUP(E16,'Caractéristique navire de pêche'!$B:$E,3,0),"")</f>
        <v/>
      </c>
      <c r="L16" t="inlineStr"/>
      <c r="M16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>
        <f>IF(AND(K16&lt;&gt;"",L16&lt;&gt;"",M16&lt;&gt;""),ROUNDUP(L16*K16*M16,0),"")</f>
        <v/>
      </c>
      <c r="O16">
        <f>IF(A16&lt;&gt;"",IF(A16="Entrée",0.366,0.228),"")</f>
        <v/>
      </c>
      <c r="P16">
        <f>IF(AND(N16&lt;&gt;"",O16&lt;&gt;""),ROUNDUP(N16*O16,2),"")</f>
        <v/>
      </c>
      <c r="Q16">
        <f>IF(AND(J16&lt;&gt;"",N16&lt;&gt;""),IF(J16/N16&gt;2/15,0,IF(J16/N16&gt;1/10,-0.1,IF(J16/N16&gt;1/20,-0.3,IF(J16/N16&gt;1/40,-0.5,IF(J16/N16&gt;1/100,-0.6,IF(J16/N16&gt;1/250,-0.7,IF(J16/N16&gt;1/500,-0.8,-0.95))))))),"")</f>
        <v/>
      </c>
      <c r="R16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>
        <f>IF(E16&lt;&gt;"",0,"")</f>
        <v/>
      </c>
      <c r="T16">
        <f>IF(AND(E16&lt;&gt;"",A16="Entrée"),65,"")</f>
        <v/>
      </c>
      <c r="U16">
        <f>IF(AND(P16&lt;&gt;"",Q16&lt;&gt;""),ROUNDUP(P16*(1+Q16),2),"")</f>
        <v/>
      </c>
      <c r="V16">
        <f>IF(U16&lt;&gt;"",U16+T16,"")</f>
        <v/>
      </c>
      <c r="W16">
        <f>IF(V16&lt;&gt;"",IF(V16&lt;9,0,IF(V16&lt;=16,16,V16)),"")</f>
        <v/>
      </c>
      <c r="X16">
        <f>IF(W16&lt;&gt;"",W16,"")</f>
        <v/>
      </c>
    </row>
    <row r="17">
      <c r="C17">
        <f>IF(B17&lt;&gt;"",VLOOKUP(B17,Tableau3[#All],2,0),"")</f>
        <v/>
      </c>
      <c r="D17">
        <f>IF(B17&lt;&gt;"","13","")</f>
        <v/>
      </c>
      <c r="K17">
        <f>IF(E17&lt;&gt;"",VLOOKUP(E17,'Caractéristique navire de pêche'!$B:$E,3,0),"")</f>
        <v/>
      </c>
      <c r="L17" t="inlineStr"/>
      <c r="M17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>
        <f>IF(AND(K17&lt;&gt;"",L17&lt;&gt;"",M17&lt;&gt;""),ROUNDUP(L17*K17*M17,0),"")</f>
        <v/>
      </c>
      <c r="O17">
        <f>IF(A17&lt;&gt;"",IF(A17="Entrée",0.366,0.228),"")</f>
        <v/>
      </c>
      <c r="P17">
        <f>IF(AND(N17&lt;&gt;"",O17&lt;&gt;""),ROUNDUP(N17*O17,2),"")</f>
        <v/>
      </c>
      <c r="Q17">
        <f>IF(AND(J17&lt;&gt;"",N17&lt;&gt;""),IF(J17/N17&gt;2/15,0,IF(J17/N17&gt;1/10,-0.1,IF(J17/N17&gt;1/20,-0.3,IF(J17/N17&gt;1/40,-0.5,IF(J17/N17&gt;1/100,-0.6,IF(J17/N17&gt;1/250,-0.7,IF(J17/N17&gt;1/500,-0.8,-0.95))))))),"")</f>
        <v/>
      </c>
      <c r="R17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>
        <f>IF(E17&lt;&gt;"",0,"")</f>
        <v/>
      </c>
      <c r="T17">
        <f>IF(AND(E17&lt;&gt;"",A17="Entrée"),65,"")</f>
        <v/>
      </c>
      <c r="U17">
        <f>IF(AND(P17&lt;&gt;"",Q17&lt;&gt;""),ROUNDUP(P17*(1+Q17),2),"")</f>
        <v/>
      </c>
      <c r="V17">
        <f>IF(U17&lt;&gt;"",U17+T17,"")</f>
        <v/>
      </c>
      <c r="W17">
        <f>IF(V17&lt;&gt;"",IF(V17&lt;9,0,IF(V17&lt;=16,16,V17)),"")</f>
        <v/>
      </c>
      <c r="X17">
        <f>IF(W17&lt;&gt;"",W17,"")</f>
        <v/>
      </c>
    </row>
    <row r="18">
      <c r="C18">
        <f>IF(B18&lt;&gt;"",VLOOKUP(B18,Tableau3[#All],2,0),"")</f>
        <v/>
      </c>
      <c r="D18">
        <f>IF(B18&lt;&gt;"","13","")</f>
        <v/>
      </c>
      <c r="K18">
        <f>IF(E18&lt;&gt;"",VLOOKUP(E18,'Caractéristique navire de pêche'!$B:$E,3,0),"")</f>
        <v/>
      </c>
      <c r="L18" t="inlineStr"/>
      <c r="M18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>
        <f>IF(AND(K18&lt;&gt;"",L18&lt;&gt;"",M18&lt;&gt;""),ROUNDUP(L18*K18*M18,0),"")</f>
        <v/>
      </c>
      <c r="O18">
        <f>IF(A18&lt;&gt;"",IF(A18="Entrée",0.366,0.228),"")</f>
        <v/>
      </c>
      <c r="P18">
        <f>IF(AND(N18&lt;&gt;"",O18&lt;&gt;""),ROUNDUP(N18*O18,2),"")</f>
        <v/>
      </c>
      <c r="Q18">
        <f>IF(AND(J18&lt;&gt;"",N18&lt;&gt;""),IF(J18/N18&gt;2/15,0,IF(J18/N18&gt;1/10,-0.1,IF(J18/N18&gt;1/20,-0.3,IF(J18/N18&gt;1/40,-0.5,IF(J18/N18&gt;1/100,-0.6,IF(J18/N18&gt;1/250,-0.7,IF(J18/N18&gt;1/500,-0.8,-0.95))))))),"")</f>
        <v/>
      </c>
      <c r="R18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>
        <f>IF(E18&lt;&gt;"",0,"")</f>
        <v/>
      </c>
      <c r="T18">
        <f>IF(AND(E18&lt;&gt;"",A18="Entrée"),65,"")</f>
        <v/>
      </c>
      <c r="U18">
        <f>IF(AND(P18&lt;&gt;"",Q18&lt;&gt;""),ROUNDUP(P18*(1+Q18),2),"")</f>
        <v/>
      </c>
      <c r="V18">
        <f>IF(U18&lt;&gt;"",U18+T18,"")</f>
        <v/>
      </c>
      <c r="W18">
        <f>IF(V18&lt;&gt;"",IF(V18&lt;9,0,IF(V18&lt;=16,16,V18)),"")</f>
        <v/>
      </c>
      <c r="X18">
        <f>IF(W18&lt;&gt;"",W18,"")</f>
        <v/>
      </c>
    </row>
    <row r="19">
      <c r="C19">
        <f>IF(B19&lt;&gt;"",VLOOKUP(B19,Tableau3[#All],2,0),"")</f>
        <v/>
      </c>
      <c r="D19">
        <f>IF(B19&lt;&gt;"","13","")</f>
        <v/>
      </c>
      <c r="K19">
        <f>IF(E19&lt;&gt;"",VLOOKUP(E19,'Caractéristique navire de pêche'!$B:$E,3,0),"")</f>
        <v/>
      </c>
      <c r="L19" t="inlineStr"/>
      <c r="M19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>
        <f>IF(AND(K19&lt;&gt;"",L19&lt;&gt;"",M19&lt;&gt;""),ROUNDUP(L19*K19*M19,0),"")</f>
        <v/>
      </c>
      <c r="O19">
        <f>IF(A19&lt;&gt;"",IF(A19="Entrée",0.366,0.228),"")</f>
        <v/>
      </c>
      <c r="P19">
        <f>IF(AND(N19&lt;&gt;"",O19&lt;&gt;""),ROUNDUP(N19*O19,2),"")</f>
        <v/>
      </c>
      <c r="Q19">
        <f>IF(AND(J19&lt;&gt;"",N19&lt;&gt;""),IF(J19/N19&gt;2/15,0,IF(J19/N19&gt;1/10,-0.1,IF(J19/N19&gt;1/20,-0.3,IF(J19/N19&gt;1/40,-0.5,IF(J19/N19&gt;1/100,-0.6,IF(J19/N19&gt;1/250,-0.7,IF(J19/N19&gt;1/500,-0.8,-0.95))))))),"")</f>
        <v/>
      </c>
      <c r="R19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>
        <f>IF(E19&lt;&gt;"",0,"")</f>
        <v/>
      </c>
      <c r="T19">
        <f>IF(AND(E19&lt;&gt;"",A19="Entrée"),65,"")</f>
        <v/>
      </c>
      <c r="U19">
        <f>IF(AND(P19&lt;&gt;"",Q19&lt;&gt;""),ROUNDUP(P19*(1+Q19),2),"")</f>
        <v/>
      </c>
      <c r="V19">
        <f>IF(U19&lt;&gt;"",U19+T19,"")</f>
        <v/>
      </c>
      <c r="W19">
        <f>IF(V19&lt;&gt;"",IF(V19&lt;9,0,IF(V19&lt;=16,16,V19)),"")</f>
        <v/>
      </c>
      <c r="X19">
        <f>IF(W19&lt;&gt;"",W19,"")</f>
        <v/>
      </c>
    </row>
    <row r="20">
      <c r="C20">
        <f>IF(B20&lt;&gt;"",VLOOKUP(B20,Tableau3[#All],2,0),"")</f>
        <v/>
      </c>
      <c r="D20">
        <f>IF(B20&lt;&gt;"","13","")</f>
        <v/>
      </c>
      <c r="K20">
        <f>IF(E20&lt;&gt;"",VLOOKUP(E20,'Caractéristique navire de pêche'!$B:$E,3,0),"")</f>
        <v/>
      </c>
      <c r="L20" t="inlineStr"/>
      <c r="M20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>
        <f>IF(AND(K20&lt;&gt;"",L20&lt;&gt;"",M20&lt;&gt;""),ROUNDUP(L20*K20*M20,0),"")</f>
        <v/>
      </c>
      <c r="O20">
        <f>IF(A20&lt;&gt;"",IF(A20="Entrée",0.366,0.228),"")</f>
        <v/>
      </c>
      <c r="P20">
        <f>IF(AND(N20&lt;&gt;"",O20&lt;&gt;""),ROUNDUP(N20*O20,2),"")</f>
        <v/>
      </c>
      <c r="Q20">
        <f>IF(AND(J20&lt;&gt;"",N20&lt;&gt;""),IF(J20/N20&gt;2/15,0,IF(J20/N20&gt;1/10,-0.1,IF(J20/N20&gt;1/20,-0.3,IF(J20/N20&gt;1/40,-0.5,IF(J20/N20&gt;1/100,-0.6,IF(J20/N20&gt;1/250,-0.7,IF(J20/N20&gt;1/500,-0.8,-0.95))))))),"")</f>
        <v/>
      </c>
      <c r="R20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>
        <f>IF(E20&lt;&gt;"",0,"")</f>
        <v/>
      </c>
      <c r="T20">
        <f>IF(AND(E20&lt;&gt;"",A20="Entrée"),65,"")</f>
        <v/>
      </c>
      <c r="U20">
        <f>IF(AND(P20&lt;&gt;"",Q20&lt;&gt;""),ROUNDUP(P20*(1+Q20),2),"")</f>
        <v/>
      </c>
      <c r="V20">
        <f>IF(U20&lt;&gt;"",U20+T20,"")</f>
        <v/>
      </c>
      <c r="W20">
        <f>IF(V20&lt;&gt;"",IF(V20&lt;9,0,IF(V20&lt;=16,16,V20)),"")</f>
        <v/>
      </c>
      <c r="X20">
        <f>IF(W20&lt;&gt;"",W20,"")</f>
        <v/>
      </c>
    </row>
    <row r="21">
      <c r="C21">
        <f>IF(B21&lt;&gt;"",VLOOKUP(B21,Tableau3[#All],2,0),"")</f>
        <v/>
      </c>
      <c r="D21">
        <f>IF(B21&lt;&gt;"","13","")</f>
        <v/>
      </c>
      <c r="K21">
        <f>IF(E21&lt;&gt;"",VLOOKUP(E21,'Caractéristique navire de pêche'!$B:$E,3,0),"")</f>
        <v/>
      </c>
      <c r="L21" t="inlineStr"/>
      <c r="M21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>
        <f>IF(AND(K21&lt;&gt;"",L21&lt;&gt;"",M21&lt;&gt;""),ROUNDUP(L21*K21*M21,0),"")</f>
        <v/>
      </c>
      <c r="O21">
        <f>IF(A21&lt;&gt;"",IF(A21="Entrée",0.366,0.228),"")</f>
        <v/>
      </c>
      <c r="P21">
        <f>IF(AND(N21&lt;&gt;"",O21&lt;&gt;""),ROUNDUP(N21*O21,2),"")</f>
        <v/>
      </c>
      <c r="Q21">
        <f>IF(AND(J21&lt;&gt;"",N21&lt;&gt;""),IF(J21/N21&gt;2/15,0,IF(J21/N21&gt;1/10,-0.1,IF(J21/N21&gt;1/20,-0.3,IF(J21/N21&gt;1/40,-0.5,IF(J21/N21&gt;1/100,-0.6,IF(J21/N21&gt;1/250,-0.7,IF(J21/N21&gt;1/500,-0.8,-0.95))))))),"")</f>
        <v/>
      </c>
      <c r="R2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>
        <f>IF(E21&lt;&gt;"",0,"")</f>
        <v/>
      </c>
      <c r="T21">
        <f>IF(AND(E21&lt;&gt;"",A21="Entrée"),65,"")</f>
        <v/>
      </c>
      <c r="U21">
        <f>IF(AND(P21&lt;&gt;"",Q21&lt;&gt;""),ROUNDUP(P21*(1+Q21),2),"")</f>
        <v/>
      </c>
      <c r="V21">
        <f>IF(U21&lt;&gt;"",U21+T21,"")</f>
        <v/>
      </c>
      <c r="W21">
        <f>IF(V21&lt;&gt;"",IF(V21&lt;9,0,IF(V21&lt;=16,16,V21)),"")</f>
        <v/>
      </c>
      <c r="X21">
        <f>IF(W21&lt;&gt;"",W21,"")</f>
        <v/>
      </c>
    </row>
    <row r="22">
      <c r="C22">
        <f>IF(B22&lt;&gt;"",VLOOKUP(B22,Tableau3[#All],2,0),"")</f>
        <v/>
      </c>
      <c r="D22">
        <f>IF(B22&lt;&gt;"","13","")</f>
        <v/>
      </c>
      <c r="K22">
        <f>IF(E22&lt;&gt;"",VLOOKUP(E22,'Caractéristique navire de pêche'!$B:$E,3,0),"")</f>
        <v/>
      </c>
      <c r="L22" t="inlineStr"/>
      <c r="M22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>
        <f>IF(AND(K22&lt;&gt;"",L22&lt;&gt;"",M22&lt;&gt;""),ROUNDUP(L22*K22*M22,0),"")</f>
        <v/>
      </c>
      <c r="O22">
        <f>IF(A22&lt;&gt;"",IF(A22="Entrée",0.366,0.228),"")</f>
        <v/>
      </c>
      <c r="P22">
        <f>IF(AND(N22&lt;&gt;"",O22&lt;&gt;""),ROUNDUP(N22*O22,2),"")</f>
        <v/>
      </c>
      <c r="Q22">
        <f>IF(AND(J22&lt;&gt;"",N22&lt;&gt;""),IF(J22/N22&gt;2/15,0,IF(J22/N22&gt;1/10,-0.1,IF(J22/N22&gt;1/20,-0.3,IF(J22/N22&gt;1/40,-0.5,IF(J22/N22&gt;1/100,-0.6,IF(J22/N22&gt;1/250,-0.7,IF(J22/N22&gt;1/500,-0.8,-0.95))))))),"")</f>
        <v/>
      </c>
      <c r="R22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>
        <f>IF(E22&lt;&gt;"",0,"")</f>
        <v/>
      </c>
      <c r="T22">
        <f>IF(AND(E22&lt;&gt;"",A22="Entrée"),65,"")</f>
        <v/>
      </c>
      <c r="U22">
        <f>IF(AND(P22&lt;&gt;"",Q22&lt;&gt;""),ROUNDUP(P22*(1+Q22),2),"")</f>
        <v/>
      </c>
      <c r="V22">
        <f>IF(U22&lt;&gt;"",U22+T22,"")</f>
        <v/>
      </c>
      <c r="W22">
        <f>IF(V22&lt;&gt;"",IF(V22&lt;9,0,IF(V22&lt;=16,16,V22)),"")</f>
        <v/>
      </c>
      <c r="X22">
        <f>IF(W22&lt;&gt;"",W22,"")</f>
        <v/>
      </c>
    </row>
    <row r="23">
      <c r="C23">
        <f>IF(B23&lt;&gt;"",VLOOKUP(B23,Tableau3[#All],2,0),"")</f>
        <v/>
      </c>
      <c r="D23">
        <f>IF(B23&lt;&gt;"","13","")</f>
        <v/>
      </c>
      <c r="K23">
        <f>IF(E23&lt;&gt;"",VLOOKUP(E23,'Caractéristique navire de pêche'!$B:$E,3,0),"")</f>
        <v/>
      </c>
      <c r="L23" t="inlineStr"/>
      <c r="M23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>
        <f>IF(AND(K23&lt;&gt;"",L23&lt;&gt;"",M23&lt;&gt;""),ROUNDUP(L23*K23*M23,0),"")</f>
        <v/>
      </c>
      <c r="O23">
        <f>IF(A23&lt;&gt;"",IF(A23="Entrée",0.366,0.228),"")</f>
        <v/>
      </c>
      <c r="P23">
        <f>IF(AND(N23&lt;&gt;"",O23&lt;&gt;""),ROUNDUP(N23*O23,2),"")</f>
        <v/>
      </c>
      <c r="Q23">
        <f>IF(AND(J23&lt;&gt;"",N23&lt;&gt;""),IF(J23/N23&gt;2/15,0,IF(J23/N23&gt;1/10,-0.1,IF(J23/N23&gt;1/20,-0.3,IF(J23/N23&gt;1/40,-0.5,IF(J23/N23&gt;1/100,-0.6,IF(J23/N23&gt;1/250,-0.7,IF(J23/N23&gt;1/500,-0.8,-0.95))))))),"")</f>
        <v/>
      </c>
      <c r="R23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>
        <f>IF(E23&lt;&gt;"",0,"")</f>
        <v/>
      </c>
      <c r="T23">
        <f>IF(AND(E23&lt;&gt;"",A23="Entrée"),65,"")</f>
        <v/>
      </c>
      <c r="U23">
        <f>IF(AND(P23&lt;&gt;"",Q23&lt;&gt;""),ROUNDUP(P23*(1+Q23),2),"")</f>
        <v/>
      </c>
      <c r="V23">
        <f>IF(U23&lt;&gt;"",U23+T23,"")</f>
        <v/>
      </c>
      <c r="W23">
        <f>IF(V23&lt;&gt;"",IF(V23&lt;9,0,IF(V23&lt;=16,16,V23)),"")</f>
        <v/>
      </c>
      <c r="X23">
        <f>IF(W23&lt;&gt;"",W23,"")</f>
        <v/>
      </c>
    </row>
    <row r="24">
      <c r="C24">
        <f>IF(B24&lt;&gt;"",VLOOKUP(B24,Tableau3[#All],2,0),"")</f>
        <v/>
      </c>
      <c r="D24">
        <f>IF(B24&lt;&gt;"","13","")</f>
        <v/>
      </c>
      <c r="K24">
        <f>IF(E24&lt;&gt;"",VLOOKUP(E24,'Caractéristique navire de pêche'!$B:$E,3,0),"")</f>
        <v/>
      </c>
      <c r="L24" t="inlineStr"/>
      <c r="M24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>
        <f>IF(AND(K24&lt;&gt;"",L24&lt;&gt;"",M24&lt;&gt;""),ROUNDUP(L24*K24*M24,0),"")</f>
        <v/>
      </c>
      <c r="O24">
        <f>IF(A24&lt;&gt;"",IF(A24="Entrée",0.366,0.228),"")</f>
        <v/>
      </c>
      <c r="P24">
        <f>IF(AND(N24&lt;&gt;"",O24&lt;&gt;""),ROUNDUP(N24*O24,2),"")</f>
        <v/>
      </c>
      <c r="Q24">
        <f>IF(AND(J24&lt;&gt;"",N24&lt;&gt;""),IF(J24/N24&gt;2/15,0,IF(J24/N24&gt;1/10,-0.1,IF(J24/N24&gt;1/20,-0.3,IF(J24/N24&gt;1/40,-0.5,IF(J24/N24&gt;1/100,-0.6,IF(J24/N24&gt;1/250,-0.7,IF(J24/N24&gt;1/500,-0.8,-0.95))))))),"")</f>
        <v/>
      </c>
      <c r="R24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>
        <f>IF(E24&lt;&gt;"",0,"")</f>
        <v/>
      </c>
      <c r="T24">
        <f>IF(AND(E24&lt;&gt;"",A24="Entrée"),65,"")</f>
        <v/>
      </c>
      <c r="U24">
        <f>IF(AND(P24&lt;&gt;"",Q24&lt;&gt;""),ROUNDUP(P24*(1+Q24),2),"")</f>
        <v/>
      </c>
      <c r="V24">
        <f>IF(U24&lt;&gt;"",U24+T24,"")</f>
        <v/>
      </c>
      <c r="W24">
        <f>IF(V24&lt;&gt;"",IF(V24&lt;9,0,IF(V24&lt;=16,16,V24)),"")</f>
        <v/>
      </c>
      <c r="X24">
        <f>IF(W24&lt;&gt;"",W24,"")</f>
        <v/>
      </c>
    </row>
    <row r="25">
      <c r="C25">
        <f>IF(B25&lt;&gt;"",VLOOKUP(B25,Tableau3[#All],2,0),"")</f>
        <v/>
      </c>
      <c r="D25">
        <f>IF(B25&lt;&gt;"","13","")</f>
        <v/>
      </c>
      <c r="K25">
        <f>IF(E25&lt;&gt;"",VLOOKUP(E25,'Caractéristique navire de pêche'!$B:$E,3,0),"")</f>
        <v/>
      </c>
      <c r="L25" t="inlineStr"/>
      <c r="M25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>
        <f>IF(AND(K25&lt;&gt;"",L25&lt;&gt;"",M25&lt;&gt;""),ROUNDUP(L25*K25*M25,0),"")</f>
        <v/>
      </c>
      <c r="O25">
        <f>IF(A25&lt;&gt;"",IF(A25="Entrée",0.366,0.228),"")</f>
        <v/>
      </c>
      <c r="P25">
        <f>IF(AND(N25&lt;&gt;"",O25&lt;&gt;""),ROUNDUP(N25*O25,2),"")</f>
        <v/>
      </c>
      <c r="Q25">
        <f>IF(AND(J25&lt;&gt;"",N25&lt;&gt;""),IF(J25/N25&gt;2/15,0,IF(J25/N25&gt;1/10,-0.1,IF(J25/N25&gt;1/20,-0.3,IF(J25/N25&gt;1/40,-0.5,IF(J25/N25&gt;1/100,-0.6,IF(J25/N25&gt;1/250,-0.7,IF(J25/N25&gt;1/500,-0.8,-0.95))))))),"")</f>
        <v/>
      </c>
      <c r="R25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>
        <f>IF(E25&lt;&gt;"",0,"")</f>
        <v/>
      </c>
      <c r="T25">
        <f>IF(AND(E25&lt;&gt;"",A25="Entrée"),65,"")</f>
        <v/>
      </c>
      <c r="U25">
        <f>IF(AND(P25&lt;&gt;"",Q25&lt;&gt;""),ROUNDUP(P25*(1+Q25),2),"")</f>
        <v/>
      </c>
      <c r="V25">
        <f>IF(U25&lt;&gt;"",U25+T25,"")</f>
        <v/>
      </c>
      <c r="W25">
        <f>IF(V25&lt;&gt;"",IF(V25&lt;9,0,IF(V25&lt;=16,16,V25)),"")</f>
        <v/>
      </c>
      <c r="X25">
        <f>IF(W25&lt;&gt;"",W25,"")</f>
        <v/>
      </c>
    </row>
    <row r="26">
      <c r="C26">
        <f>IF(B26&lt;&gt;"",VLOOKUP(B26,Tableau3[#All],2,0),"")</f>
        <v/>
      </c>
      <c r="D26">
        <f>IF(B26&lt;&gt;"","13","")</f>
        <v/>
      </c>
      <c r="K26">
        <f>IF(E26&lt;&gt;"",VLOOKUP(E26,'Caractéristique navire de pêche'!$B:$E,3,0),"")</f>
        <v/>
      </c>
      <c r="L26" t="inlineStr"/>
      <c r="M26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>
        <f>IF(AND(K26&lt;&gt;"",L26&lt;&gt;"",M26&lt;&gt;""),ROUNDUP(L26*K26*M26,0),"")</f>
        <v/>
      </c>
      <c r="O26">
        <f>IF(A26&lt;&gt;"",IF(A26="Entrée",0.366,0.228),"")</f>
        <v/>
      </c>
      <c r="P26">
        <f>IF(AND(N26&lt;&gt;"",O26&lt;&gt;""),ROUNDUP(N26*O26,2),"")</f>
        <v/>
      </c>
      <c r="Q26">
        <f>IF(AND(J26&lt;&gt;"",N26&lt;&gt;""),IF(J26/N26&gt;2/15,0,IF(J26/N26&gt;1/10,-0.1,IF(J26/N26&gt;1/20,-0.3,IF(J26/N26&gt;1/40,-0.5,IF(J26/N26&gt;1/100,-0.6,IF(J26/N26&gt;1/250,-0.7,IF(J26/N26&gt;1/500,-0.8,-0.95))))))),"")</f>
        <v/>
      </c>
      <c r="R26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>
        <f>IF(E26&lt;&gt;"",0,"")</f>
        <v/>
      </c>
      <c r="T26">
        <f>IF(AND(E26&lt;&gt;"",A26="Entrée"),65,"")</f>
        <v/>
      </c>
      <c r="U26">
        <f>IF(AND(P26&lt;&gt;"",Q26&lt;&gt;""),ROUNDUP(P26*(1+Q26),2),"")</f>
        <v/>
      </c>
      <c r="V26">
        <f>IF(U26&lt;&gt;"",U26+T26,"")</f>
        <v/>
      </c>
      <c r="W26">
        <f>IF(V26&lt;&gt;"",IF(V26&lt;9,0,IF(V26&lt;=16,16,V26)),"")</f>
        <v/>
      </c>
      <c r="X26">
        <f>IF(W26&lt;&gt;"",W26,"")</f>
        <v/>
      </c>
    </row>
    <row r="27">
      <c r="C27">
        <f>IF(B27&lt;&gt;"",VLOOKUP(B27,Tableau3[#All],2,0),"")</f>
        <v/>
      </c>
      <c r="D27">
        <f>IF(B27&lt;&gt;"","13","")</f>
        <v/>
      </c>
      <c r="K27">
        <f>IF(E27&lt;&gt;"",VLOOKUP(E27,'Caractéristique navire de pêche'!$B:$E,3,0),"")</f>
        <v/>
      </c>
      <c r="L27" t="inlineStr"/>
      <c r="M27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>
        <f>IF(AND(K27&lt;&gt;"",L27&lt;&gt;"",M27&lt;&gt;""),ROUNDUP(L27*K27*M27,0),"")</f>
        <v/>
      </c>
      <c r="O27">
        <f>IF(A27&lt;&gt;"",IF(A27="Entrée",0.366,0.228),"")</f>
        <v/>
      </c>
      <c r="P27">
        <f>IF(AND(N27&lt;&gt;"",O27&lt;&gt;""),ROUNDUP(N27*O27,2),"")</f>
        <v/>
      </c>
      <c r="Q27">
        <f>IF(AND(J27&lt;&gt;"",N27&lt;&gt;""),IF(J27/N27&gt;2/15,0,IF(J27/N27&gt;1/10,-0.1,IF(J27/N27&gt;1/20,-0.3,IF(J27/N27&gt;1/40,-0.5,IF(J27/N27&gt;1/100,-0.6,IF(J27/N27&gt;1/250,-0.7,IF(J27/N27&gt;1/500,-0.8,-0.95))))))),"")</f>
        <v/>
      </c>
      <c r="R27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>
        <f>IF(E27&lt;&gt;"",0,"")</f>
        <v/>
      </c>
      <c r="T27">
        <f>IF(AND(E27&lt;&gt;"",A27="Entrée"),65,"")</f>
        <v/>
      </c>
      <c r="U27">
        <f>IF(AND(P27&lt;&gt;"",Q27&lt;&gt;""),ROUNDUP(P27*(1+Q27),2),"")</f>
        <v/>
      </c>
      <c r="V27">
        <f>IF(U27&lt;&gt;"",U27+T27,"")</f>
        <v/>
      </c>
      <c r="W27">
        <f>IF(V27&lt;&gt;"",IF(V27&lt;9,0,IF(V27&lt;=16,16,V27)),"")</f>
        <v/>
      </c>
      <c r="X27">
        <f>IF(W27&lt;&gt;"",W27,"")</f>
        <v/>
      </c>
    </row>
    <row r="28">
      <c r="C28">
        <f>IF(B28&lt;&gt;"",VLOOKUP(B28,Tableau3[#All],2,0),"")</f>
        <v/>
      </c>
      <c r="D28">
        <f>IF(B28&lt;&gt;"","13","")</f>
        <v/>
      </c>
      <c r="K28">
        <f>IF(E28&lt;&gt;"",VLOOKUP(E28,'Caractéristique navire de pêche'!$B:$E,3,0),"")</f>
        <v/>
      </c>
      <c r="L28" t="inlineStr"/>
      <c r="M28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>
        <f>IF(AND(K28&lt;&gt;"",L28&lt;&gt;"",M28&lt;&gt;""),ROUNDUP(L28*K28*M28,0),"")</f>
        <v/>
      </c>
      <c r="O28">
        <f>IF(A28&lt;&gt;"",IF(A28="Entrée",0.366,0.228),"")</f>
        <v/>
      </c>
      <c r="P28">
        <f>IF(AND(N28&lt;&gt;"",O28&lt;&gt;""),ROUNDUP(N28*O28,2),"")</f>
        <v/>
      </c>
      <c r="Q28">
        <f>IF(AND(J28&lt;&gt;"",N28&lt;&gt;""),IF(J28/N28&gt;2/15,0,IF(J28/N28&gt;1/10,-0.1,IF(J28/N28&gt;1/20,-0.3,IF(J28/N28&gt;1/40,-0.5,IF(J28/N28&gt;1/100,-0.6,IF(J28/N28&gt;1/250,-0.7,IF(J28/N28&gt;1/500,-0.8,-0.95))))))),"")</f>
        <v/>
      </c>
      <c r="R28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>
        <f>IF(E28&lt;&gt;"",0,"")</f>
        <v/>
      </c>
      <c r="T28">
        <f>IF(AND(E28&lt;&gt;"",A28="Entrée"),65,"")</f>
        <v/>
      </c>
      <c r="U28">
        <f>IF(AND(P28&lt;&gt;"",Q28&lt;&gt;""),ROUNDUP(P28*(1+Q28),2),"")</f>
        <v/>
      </c>
      <c r="V28">
        <f>IF(U28&lt;&gt;"",U28+T28,"")</f>
        <v/>
      </c>
      <c r="W28">
        <f>IF(V28&lt;&gt;"",IF(V28&lt;9,0,IF(V28&lt;=16,16,V28)),"")</f>
        <v/>
      </c>
      <c r="X28">
        <f>IF(W28&lt;&gt;"",W28,"")</f>
        <v/>
      </c>
    </row>
    <row r="29">
      <c r="C29">
        <f>IF(B29&lt;&gt;"",VLOOKUP(B29,Tableau3[#All],2,0),"")</f>
        <v/>
      </c>
      <c r="D29">
        <f>IF(B29&lt;&gt;"","13","")</f>
        <v/>
      </c>
      <c r="K29">
        <f>IF(E29&lt;&gt;"",VLOOKUP(E29,'Caractéristique navire de pêche'!$B:$E,3,0),"")</f>
        <v/>
      </c>
      <c r="L29" t="inlineStr"/>
      <c r="M29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>
        <f>IF(AND(K29&lt;&gt;"",L29&lt;&gt;"",M29&lt;&gt;""),ROUNDUP(L29*K29*M29,0),"")</f>
        <v/>
      </c>
      <c r="O29">
        <f>IF(A29&lt;&gt;"",IF(A29="Entrée",0.366,0.228),"")</f>
        <v/>
      </c>
      <c r="P29">
        <f>IF(AND(N29&lt;&gt;"",O29&lt;&gt;""),ROUNDUP(N29*O29,2),"")</f>
        <v/>
      </c>
      <c r="Q29">
        <f>IF(AND(J29&lt;&gt;"",N29&lt;&gt;""),IF(J29/N29&gt;2/15,0,IF(J29/N29&gt;1/10,-0.1,IF(J29/N29&gt;1/20,-0.3,IF(J29/N29&gt;1/40,-0.5,IF(J29/N29&gt;1/100,-0.6,IF(J29/N29&gt;1/250,-0.7,IF(J29/N29&gt;1/500,-0.8,-0.95))))))),"")</f>
        <v/>
      </c>
      <c r="R29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>
        <f>IF(E29&lt;&gt;"",0,"")</f>
        <v/>
      </c>
      <c r="T29">
        <f>IF(AND(E29&lt;&gt;"",A29="Entrée"),65,"")</f>
        <v/>
      </c>
      <c r="U29">
        <f>IF(AND(P29&lt;&gt;"",Q29&lt;&gt;""),ROUNDUP(P29*(1+Q29),2),"")</f>
        <v/>
      </c>
      <c r="V29">
        <f>IF(U29&lt;&gt;"",U29+T29,"")</f>
        <v/>
      </c>
      <c r="W29">
        <f>IF(V29&lt;&gt;"",IF(V29&lt;9,0,IF(V29&lt;=16,16,V29)),"")</f>
        <v/>
      </c>
      <c r="X29">
        <f>IF(W29&lt;&gt;"",W29,"")</f>
        <v/>
      </c>
    </row>
    <row r="30">
      <c r="C30">
        <f>IF(B30&lt;&gt;"",VLOOKUP(B30,Tableau3[#All],2,0),"")</f>
        <v/>
      </c>
      <c r="D30">
        <f>IF(B30&lt;&gt;"","13","")</f>
        <v/>
      </c>
      <c r="K30">
        <f>IF(E30&lt;&gt;"",VLOOKUP(E30,'Caractéristique navire de pêche'!$B:$E,3,0),"")</f>
        <v/>
      </c>
      <c r="L30" t="inlineStr"/>
      <c r="M30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>
        <f>IF(AND(K30&lt;&gt;"",L30&lt;&gt;"",M30&lt;&gt;""),ROUNDUP(L30*K30*M30,0),"")</f>
        <v/>
      </c>
      <c r="O30">
        <f>IF(A30&lt;&gt;"",IF(A30="Entrée",0.366,0.228),"")</f>
        <v/>
      </c>
      <c r="P30">
        <f>IF(AND(N30&lt;&gt;"",O30&lt;&gt;""),ROUNDUP(N30*O30,2),"")</f>
        <v/>
      </c>
      <c r="Q30">
        <f>IF(AND(J30&lt;&gt;"",N30&lt;&gt;""),IF(J30/N30&gt;2/15,0,IF(J30/N30&gt;1/10,-0.1,IF(J30/N30&gt;1/20,-0.3,IF(J30/N30&gt;1/40,-0.5,IF(J30/N30&gt;1/100,-0.6,IF(J30/N30&gt;1/250,-0.7,IF(J30/N30&gt;1/500,-0.8,-0.95))))))),"")</f>
        <v/>
      </c>
      <c r="R30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>
        <f>IF(E30&lt;&gt;"",0,"")</f>
        <v/>
      </c>
      <c r="T30">
        <f>IF(AND(E30&lt;&gt;"",A30="Entrée"),65,"")</f>
        <v/>
      </c>
      <c r="U30">
        <f>IF(AND(P30&lt;&gt;"",Q30&lt;&gt;""),ROUNDUP(P30*(1+Q30),2),"")</f>
        <v/>
      </c>
      <c r="V30">
        <f>IF(U30&lt;&gt;"",U30+T30,"")</f>
        <v/>
      </c>
      <c r="W30">
        <f>IF(V30&lt;&gt;"",IF(V30&lt;9,0,IF(V30&lt;=16,16,V30)),"")</f>
        <v/>
      </c>
      <c r="X30">
        <f>IF(W30&lt;&gt;"",W30,"")</f>
        <v/>
      </c>
    </row>
    <row r="31">
      <c r="C31">
        <f>IF(B31&lt;&gt;"",VLOOKUP(B31,Tableau3[#All],2,0),"")</f>
        <v/>
      </c>
      <c r="D31">
        <f>IF(B31&lt;&gt;"","13","")</f>
        <v/>
      </c>
      <c r="K31">
        <f>IF(E31&lt;&gt;"",VLOOKUP(E31,'Caractéristique navire de pêche'!$B:$E,3,0),"")</f>
        <v/>
      </c>
      <c r="L31" t="inlineStr"/>
      <c r="M31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>
        <f>IF(AND(K31&lt;&gt;"",L31&lt;&gt;"",M31&lt;&gt;""),ROUNDUP(L31*K31*M31,0),"")</f>
        <v/>
      </c>
      <c r="O31">
        <f>IF(A31&lt;&gt;"",IF(A31="Entrée",0.366,0.228),"")</f>
        <v/>
      </c>
      <c r="P31">
        <f>IF(AND(N31&lt;&gt;"",O31&lt;&gt;""),ROUNDUP(N31*O31,2),"")</f>
        <v/>
      </c>
      <c r="Q31">
        <f>IF(AND(J31&lt;&gt;"",N31&lt;&gt;""),IF(J31/N31&gt;2/15,0,IF(J31/N31&gt;1/10,-0.1,IF(J31/N31&gt;1/20,-0.3,IF(J31/N31&gt;1/40,-0.5,IF(J31/N31&gt;1/100,-0.6,IF(J31/N31&gt;1/250,-0.7,IF(J31/N31&gt;1/500,-0.8,-0.95))))))),"")</f>
        <v/>
      </c>
      <c r="R3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>
        <f>IF(E31&lt;&gt;"",0,"")</f>
        <v/>
      </c>
      <c r="T31">
        <f>IF(AND(E31&lt;&gt;"",A31="Entrée"),65,"")</f>
        <v/>
      </c>
      <c r="U31">
        <f>IF(AND(P31&lt;&gt;"",Q31&lt;&gt;""),ROUNDUP(P31*(1+Q31),2),"")</f>
        <v/>
      </c>
      <c r="V31">
        <f>IF(U31&lt;&gt;"",U31+T31,"")</f>
        <v/>
      </c>
      <c r="W31">
        <f>IF(V31&lt;&gt;"",IF(V31&lt;9,0,IF(V31&lt;=16,16,V31)),"")</f>
        <v/>
      </c>
      <c r="X31">
        <f>IF(W31&lt;&gt;"",W31,"")</f>
        <v/>
      </c>
    </row>
    <row r="32">
      <c r="C32">
        <f>IF(B32&lt;&gt;"",VLOOKUP(B32,Tableau3[#All],2,0),"")</f>
        <v/>
      </c>
      <c r="D32">
        <f>IF(B32&lt;&gt;"","13","")</f>
        <v/>
      </c>
      <c r="K32">
        <f>IF(E32&lt;&gt;"",VLOOKUP(E32,'Caractéristique navire de pêche'!$B:$E,3,0),"")</f>
        <v/>
      </c>
      <c r="L32" t="inlineStr"/>
      <c r="M32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>
        <f>IF(AND(K32&lt;&gt;"",L32&lt;&gt;"",M32&lt;&gt;""),ROUNDUP(L32*K32*M32,0),"")</f>
        <v/>
      </c>
      <c r="O32">
        <f>IF(A32&lt;&gt;"",IF(A32="Entrée",0.366,0.228),"")</f>
        <v/>
      </c>
      <c r="P32">
        <f>IF(AND(N32&lt;&gt;"",O32&lt;&gt;""),ROUNDUP(N32*O32,2),"")</f>
        <v/>
      </c>
      <c r="Q32">
        <f>IF(AND(J32&lt;&gt;"",N32&lt;&gt;""),IF(J32/N32&gt;2/15,0,IF(J32/N32&gt;1/10,-0.1,IF(J32/N32&gt;1/20,-0.3,IF(J32/N32&gt;1/40,-0.5,IF(J32/N32&gt;1/100,-0.6,IF(J32/N32&gt;1/250,-0.7,IF(J32/N32&gt;1/500,-0.8,-0.95))))))),"")</f>
        <v/>
      </c>
      <c r="R32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>
        <f>IF(E32&lt;&gt;"",0,"")</f>
        <v/>
      </c>
      <c r="T32">
        <f>IF(AND(E32&lt;&gt;"",A32="Entrée"),65,"")</f>
        <v/>
      </c>
      <c r="U32">
        <f>IF(AND(P32&lt;&gt;"",Q32&lt;&gt;""),ROUNDUP(P32*(1+Q32),2),"")</f>
        <v/>
      </c>
      <c r="V32">
        <f>IF(U32&lt;&gt;"",U32+T32,"")</f>
        <v/>
      </c>
      <c r="W32">
        <f>IF(V32&lt;&gt;"",IF(V32&lt;9,0,IF(V32&lt;=16,16,V32)),"")</f>
        <v/>
      </c>
      <c r="X32">
        <f>IF(W32&lt;&gt;"",W32,"")</f>
        <v/>
      </c>
    </row>
    <row r="33">
      <c r="C33">
        <f>IF(B33&lt;&gt;"",VLOOKUP(B33,Tableau3[#All],2,0),"")</f>
        <v/>
      </c>
      <c r="D33">
        <f>IF(B33&lt;&gt;"","13","")</f>
        <v/>
      </c>
      <c r="K33">
        <f>IF(E33&lt;&gt;"",VLOOKUP(E33,'Caractéristique navire de pêche'!$B:$E,3,0),"")</f>
        <v/>
      </c>
      <c r="L33" t="inlineStr"/>
      <c r="M33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>
        <f>IF(AND(K33&lt;&gt;"",L33&lt;&gt;"",M33&lt;&gt;""),ROUNDUP(L33*K33*M33,0),"")</f>
        <v/>
      </c>
      <c r="O33">
        <f>IF(A33&lt;&gt;"",IF(A33="Entrée",0.366,0.228),"")</f>
        <v/>
      </c>
      <c r="P33">
        <f>IF(AND(N33&lt;&gt;"",O33&lt;&gt;""),ROUNDUP(N33*O33,2),"")</f>
        <v/>
      </c>
      <c r="Q33">
        <f>IF(AND(J33&lt;&gt;"",N33&lt;&gt;""),IF(J33/N33&gt;2/15,0,IF(J33/N33&gt;1/10,-0.1,IF(J33/N33&gt;1/20,-0.3,IF(J33/N33&gt;1/40,-0.5,IF(J33/N33&gt;1/100,-0.6,IF(J33/N33&gt;1/250,-0.7,IF(J33/N33&gt;1/500,-0.8,-0.95))))))),"")</f>
        <v/>
      </c>
      <c r="R33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>
        <f>IF(E33&lt;&gt;"",0,"")</f>
        <v/>
      </c>
      <c r="T33">
        <f>IF(AND(E33&lt;&gt;"",A33="Entrée"),65,"")</f>
        <v/>
      </c>
      <c r="U33">
        <f>IF(AND(P33&lt;&gt;"",Q33&lt;&gt;""),ROUNDUP(P33*(1+Q33),2),"")</f>
        <v/>
      </c>
      <c r="V33">
        <f>IF(U33&lt;&gt;"",U33+T33,"")</f>
        <v/>
      </c>
      <c r="W33">
        <f>IF(V33&lt;&gt;"",IF(V33&lt;9,0,IF(V33&lt;=16,16,V33)),"")</f>
        <v/>
      </c>
      <c r="X33">
        <f>IF(W33&lt;&gt;"",W33,"")</f>
        <v/>
      </c>
    </row>
    <row r="34">
      <c r="C34">
        <f>IF(B34&lt;&gt;"",VLOOKUP(B34,Tableau3[#All],2,0),"")</f>
        <v/>
      </c>
      <c r="D34">
        <f>IF(B34&lt;&gt;"","13","")</f>
        <v/>
      </c>
      <c r="K34">
        <f>IF(E34&lt;&gt;"",VLOOKUP(E34,'Caractéristique navire de pêche'!$B:$E,3,0),"")</f>
        <v/>
      </c>
      <c r="L34" t="inlineStr"/>
      <c r="M34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>
        <f>IF(AND(K34&lt;&gt;"",L34&lt;&gt;"",M34&lt;&gt;""),ROUNDUP(L34*K34*M34,0),"")</f>
        <v/>
      </c>
      <c r="O34">
        <f>IF(A34&lt;&gt;"",IF(A34="Entrée",0.366,0.228),"")</f>
        <v/>
      </c>
      <c r="P34">
        <f>IF(AND(N34&lt;&gt;"",O34&lt;&gt;""),ROUNDUP(N34*O34,2),"")</f>
        <v/>
      </c>
      <c r="Q34">
        <f>IF(AND(J34&lt;&gt;"",N34&lt;&gt;""),IF(J34/N34&gt;2/15,0,IF(J34/N34&gt;1/10,-0.1,IF(J34/N34&gt;1/20,-0.3,IF(J34/N34&gt;1/40,-0.5,IF(J34/N34&gt;1/100,-0.6,IF(J34/N34&gt;1/250,-0.7,IF(J34/N34&gt;1/500,-0.8,-0.95))))))),"")</f>
        <v/>
      </c>
      <c r="R34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>
        <f>IF(E34&lt;&gt;"",0,"")</f>
        <v/>
      </c>
      <c r="T34">
        <f>IF(AND(E34&lt;&gt;"",A34="Entrée"),65,"")</f>
        <v/>
      </c>
      <c r="U34">
        <f>IF(AND(P34&lt;&gt;"",Q34&lt;&gt;""),ROUNDUP(P34*(1+Q34),2),"")</f>
        <v/>
      </c>
      <c r="V34">
        <f>IF(U34&lt;&gt;"",U34+T34,"")</f>
        <v/>
      </c>
      <c r="W34">
        <f>IF(V34&lt;&gt;"",IF(V34&lt;9,0,IF(V34&lt;=16,16,V34)),"")</f>
        <v/>
      </c>
      <c r="X34">
        <f>IF(W34&lt;&gt;"",W34,"")</f>
        <v/>
      </c>
    </row>
    <row r="35">
      <c r="C35">
        <f>IF(B35&lt;&gt;"",VLOOKUP(B35,Tableau3[#All],2,0),"")</f>
        <v/>
      </c>
      <c r="D35">
        <f>IF(B35&lt;&gt;"","13","")</f>
        <v/>
      </c>
      <c r="K35">
        <f>IF(E35&lt;&gt;"",VLOOKUP(E35,'Caractéristique navire de pêche'!$B:$E,3,0),"")</f>
        <v/>
      </c>
      <c r="L35" t="inlineStr"/>
      <c r="M35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>
        <f>IF(AND(K35&lt;&gt;"",L35&lt;&gt;"",M35&lt;&gt;""),ROUNDUP(L35*K35*M35,0),"")</f>
        <v/>
      </c>
      <c r="O35">
        <f>IF(A35&lt;&gt;"",IF(A35="Entrée",0.366,0.228),"")</f>
        <v/>
      </c>
      <c r="P35">
        <f>IF(AND(N35&lt;&gt;"",O35&lt;&gt;""),ROUNDUP(N35*O35,2),"")</f>
        <v/>
      </c>
      <c r="Q35">
        <f>IF(AND(J35&lt;&gt;"",N35&lt;&gt;""),IF(J35/N35&gt;2/15,0,IF(J35/N35&gt;1/10,-0.1,IF(J35/N35&gt;1/20,-0.3,IF(J35/N35&gt;1/40,-0.5,IF(J35/N35&gt;1/100,-0.6,IF(J35/N35&gt;1/250,-0.7,IF(J35/N35&gt;1/500,-0.8,-0.95))))))),"")</f>
        <v/>
      </c>
      <c r="R35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>
        <f>IF(E35&lt;&gt;"",0,"")</f>
        <v/>
      </c>
      <c r="T35">
        <f>IF(AND(E35&lt;&gt;"",A35="Entrée"),65,"")</f>
        <v/>
      </c>
      <c r="U35">
        <f>IF(AND(P35&lt;&gt;"",Q35&lt;&gt;""),ROUNDUP(P35*(1+Q35),2),"")</f>
        <v/>
      </c>
      <c r="V35">
        <f>IF(U35&lt;&gt;"",U35+T35,"")</f>
        <v/>
      </c>
      <c r="W35">
        <f>IF(V35&lt;&gt;"",IF(V35&lt;9,0,IF(V35&lt;=16,16,V35)),"")</f>
        <v/>
      </c>
      <c r="X35">
        <f>IF(W35&lt;&gt;"",W35,"")</f>
        <v/>
      </c>
    </row>
    <row r="36">
      <c r="C36">
        <f>IF(B36&lt;&gt;"",VLOOKUP(B36,Tableau3[#All],2,0),"")</f>
        <v/>
      </c>
      <c r="D36">
        <f>IF(B36&lt;&gt;"","13","")</f>
        <v/>
      </c>
      <c r="K36">
        <f>IF(E36&lt;&gt;"",VLOOKUP(E36,'Caractéristique navire de pêche'!$B:$E,3,0),"")</f>
        <v/>
      </c>
      <c r="L36" t="inlineStr"/>
      <c r="M36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>
        <f>IF(AND(K36&lt;&gt;"",L36&lt;&gt;"",M36&lt;&gt;""),ROUNDUP(L36*K36*M36,0),"")</f>
        <v/>
      </c>
      <c r="O36">
        <f>IF(A36&lt;&gt;"",IF(A36="Entrée",0.366,0.228),"")</f>
        <v/>
      </c>
      <c r="P36">
        <f>IF(AND(N36&lt;&gt;"",O36&lt;&gt;""),ROUNDUP(N36*O36,2),"")</f>
        <v/>
      </c>
      <c r="Q36">
        <f>IF(AND(J36&lt;&gt;"",N36&lt;&gt;""),IF(J36/N36&gt;2/15,0,IF(J36/N36&gt;1/10,-0.1,IF(J36/N36&gt;1/20,-0.3,IF(J36/N36&gt;1/40,-0.5,IF(J36/N36&gt;1/100,-0.6,IF(J36/N36&gt;1/250,-0.7,IF(J36/N36&gt;1/500,-0.8,-0.95))))))),"")</f>
        <v/>
      </c>
      <c r="R36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>
        <f>IF(E36&lt;&gt;"",0,"")</f>
        <v/>
      </c>
      <c r="T36">
        <f>IF(AND(E36&lt;&gt;"",A36="Entrée"),65,"")</f>
        <v/>
      </c>
      <c r="U36">
        <f>IF(AND(P36&lt;&gt;"",Q36&lt;&gt;""),ROUNDUP(P36*(1+Q36),2),"")</f>
        <v/>
      </c>
      <c r="V36">
        <f>IF(U36&lt;&gt;"",U36+T36,"")</f>
        <v/>
      </c>
      <c r="W36">
        <f>IF(V36&lt;&gt;"",IF(V36&lt;9,0,IF(V36&lt;=16,16,V36)),"")</f>
        <v/>
      </c>
      <c r="X36">
        <f>IF(W36&lt;&gt;"",W36,"")</f>
        <v/>
      </c>
    </row>
    <row r="37">
      <c r="C37">
        <f>IF(B37&lt;&gt;"",VLOOKUP(B37,Tableau3[#All],2,0),"")</f>
        <v/>
      </c>
      <c r="D37">
        <f>IF(B37&lt;&gt;"","13","")</f>
        <v/>
      </c>
      <c r="K37">
        <f>IF(E37&lt;&gt;"",VLOOKUP(E37,'Caractéristique navire de pêche'!$B:$E,3,0),"")</f>
        <v/>
      </c>
      <c r="L37" t="inlineStr"/>
      <c r="M37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>
        <f>IF(AND(K37&lt;&gt;"",L37&lt;&gt;"",M37&lt;&gt;""),ROUNDUP(L37*K37*M37,0),"")</f>
        <v/>
      </c>
      <c r="O37">
        <f>IF(A37&lt;&gt;"",IF(A37="Entrée",0.366,0.228),"")</f>
        <v/>
      </c>
      <c r="P37">
        <f>IF(AND(N37&lt;&gt;"",O37&lt;&gt;""),ROUNDUP(N37*O37,2),"")</f>
        <v/>
      </c>
      <c r="Q37">
        <f>IF(AND(J37&lt;&gt;"",N37&lt;&gt;""),IF(J37/N37&gt;2/15,0,IF(J37/N37&gt;1/10,-0.1,IF(J37/N37&gt;1/20,-0.3,IF(J37/N37&gt;1/40,-0.5,IF(J37/N37&gt;1/100,-0.6,IF(J37/N37&gt;1/250,-0.7,IF(J37/N37&gt;1/500,-0.8,-0.95))))))),"")</f>
        <v/>
      </c>
      <c r="R37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>
        <f>IF(E37&lt;&gt;"",0,"")</f>
        <v/>
      </c>
      <c r="T37">
        <f>IF(AND(E37&lt;&gt;"",A37="Entrée"),65,"")</f>
        <v/>
      </c>
      <c r="U37">
        <f>IF(AND(P37&lt;&gt;"",Q37&lt;&gt;""),ROUNDUP(P37*(1+Q37),2),"")</f>
        <v/>
      </c>
      <c r="V37">
        <f>IF(U37&lt;&gt;"",U37+T37,"")</f>
        <v/>
      </c>
      <c r="W37">
        <f>IF(V37&lt;&gt;"",IF(V37&lt;9,0,IF(V37&lt;=16,16,V37)),"")</f>
        <v/>
      </c>
      <c r="X37">
        <f>IF(W37&lt;&gt;"",W37,"")</f>
        <v/>
      </c>
    </row>
    <row r="38">
      <c r="C38">
        <f>IF(B38&lt;&gt;"",VLOOKUP(B38,Tableau3[#All],2,0),"")</f>
        <v/>
      </c>
      <c r="D38">
        <f>IF(B38&lt;&gt;"","13","")</f>
        <v/>
      </c>
      <c r="K38">
        <f>IF(E38&lt;&gt;"",VLOOKUP(E38,'Caractéristique navire de pêche'!$B:$E,3,0),"")</f>
        <v/>
      </c>
      <c r="L38" t="inlineStr"/>
      <c r="M38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>
        <f>IF(AND(K38&lt;&gt;"",L38&lt;&gt;"",M38&lt;&gt;""),ROUNDUP(L38*K38*M38,0),"")</f>
        <v/>
      </c>
      <c r="O38">
        <f>IF(A38&lt;&gt;"",IF(A38="Entrée",0.366,0.228),"")</f>
        <v/>
      </c>
      <c r="P38">
        <f>IF(AND(N38&lt;&gt;"",O38&lt;&gt;""),ROUNDUP(N38*O38,2),"")</f>
        <v/>
      </c>
      <c r="Q38">
        <f>IF(AND(J38&lt;&gt;"",N38&lt;&gt;""),IF(J38/N38&gt;2/15,0,IF(J38/N38&gt;1/10,-0.1,IF(J38/N38&gt;1/20,-0.3,IF(J38/N38&gt;1/40,-0.5,IF(J38/N38&gt;1/100,-0.6,IF(J38/N38&gt;1/250,-0.7,IF(J38/N38&gt;1/500,-0.8,-0.95))))))),"")</f>
        <v/>
      </c>
      <c r="R38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>
        <f>IF(E38&lt;&gt;"",0,"")</f>
        <v/>
      </c>
      <c r="T38">
        <f>IF(AND(E38&lt;&gt;"",A38="Entrée"),65,"")</f>
        <v/>
      </c>
      <c r="U38">
        <f>IF(AND(P38&lt;&gt;"",Q38&lt;&gt;""),ROUNDUP(P38*(1+Q38),2),"")</f>
        <v/>
      </c>
      <c r="V38">
        <f>IF(U38&lt;&gt;"",U38+T38,"")</f>
        <v/>
      </c>
      <c r="W38">
        <f>IF(V38&lt;&gt;"",IF(V38&lt;9,0,IF(V38&lt;=16,16,V38)),"")</f>
        <v/>
      </c>
      <c r="X38">
        <f>IF(W38&lt;&gt;"",W38,"")</f>
        <v/>
      </c>
    </row>
    <row r="39">
      <c r="A39" t="inlineStr">
        <is>
          <t>23/04/2026</t>
        </is>
      </c>
      <c r="B39" t="inlineStr">
        <is>
          <t>23/04/2026</t>
        </is>
      </c>
      <c r="C39" t="inlineStr">
        <is>
          <t>DSK Fish</t>
        </is>
      </c>
      <c r="D39" t="inlineStr">
        <is>
          <t>MAYELEWO</t>
        </is>
      </c>
      <c r="E39" t="inlineStr">
        <is>
          <t>MARGUARITA</t>
        </is>
      </c>
      <c r="F39" t="inlineStr">
        <is>
          <t>J</t>
        </is>
      </c>
      <c r="G39" t="inlineStr">
        <is>
          <t>2.456</t>
        </is>
      </c>
      <c r="H39" t="inlineStr">
        <is>
          <t>115</t>
        </is>
      </c>
      <c r="I39" t="inlineStr">
        <is>
          <t>0.366</t>
        </is>
      </c>
      <c r="J39" t="inlineStr">
        <is>
          <t>42</t>
        </is>
      </c>
      <c r="K39" t="inlineStr">
        <is>
          <t>18</t>
        </is>
      </c>
      <c r="L39" t="inlineStr">
        <is>
          <t>18</t>
        </is>
      </c>
      <c r="M39" t="inlineStr">
        <is>
          <t>En attente</t>
        </is>
      </c>
    </row>
  </sheetData>
  <dataValidations count="4">
    <dataValidation sqref="J1:J1048576" showDropDown="0" showInputMessage="1" showErrorMessage="1" allowBlank="1" errorTitle="Format incorrect " error="Veuillez entrer le tonnage en tonnes uniquement " promptTitle="Tonnage" prompt="Entrez le tonnage en tonnes (ex:1,5 pour 1,5 tonnes)" type="decimal">
      <formula1>0</formula1>
      <formula2>50</formula2>
    </dataValidation>
    <dataValidation sqref="B2" showDropDown="0" showInputMessage="1" showErrorMessage="1" allowBlank="1" type="list">
      <formula1>"DSK Fish,Poissonnerie Bapte,Delta Transit"</formula1>
    </dataValidation>
    <dataValidation sqref="E2" showDropDown="0" showInputMessage="1" showErrorMessage="1" allowBlank="1" type="list">
      <formula1>"PATHFINDER,NATHALIA,SAMANTHA DEL VALLEE;ARACELYS MARIA,EL SUR,DON CRUZ,QUEEN MARY,MARIA CELIS 3;MARIA CELIS 2,MARIA CELIS 4,MAYELEWO,EL SUR,DON FAUSTINO"</formula1>
    </dataValidation>
    <dataValidation sqref="C2:D2" showDropDown="0" showInputMessage="1" showErrorMessage="1" allowBlank="1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6" sqref="A16"/>
    </sheetView>
  </sheetViews>
  <sheetFormatPr baseColWidth="8" defaultRowHeight="15"/>
  <cols>
    <col width="18.7109375" customWidth="1" min="1" max="1"/>
    <col width="22.7109375" customWidth="1" min="2" max="2"/>
    <col width="27.5703125" customWidth="1" min="3" max="3"/>
    <col width="26.42578125" customWidth="1" min="4" max="4"/>
    <col width="19.85546875" customWidth="1" min="5" max="5"/>
  </cols>
  <sheetData>
    <row r="1" ht="18.75" customHeight="1">
      <c r="A1" s="4" t="inlineStr">
        <is>
          <t xml:space="preserve">Compagnie </t>
        </is>
      </c>
      <c r="B1" s="5" t="inlineStr">
        <is>
          <t xml:space="preserve">Nom du Navire </t>
        </is>
      </c>
      <c r="C1" s="5" t="inlineStr">
        <is>
          <t>Longueur hors tout (m)</t>
        </is>
      </c>
      <c r="D1" s="6" t="inlineStr">
        <is>
          <t>Largueur maximal (m)</t>
        </is>
      </c>
      <c r="E1" s="4" t="inlineStr">
        <is>
          <t>Tirant d'eau (m)</t>
        </is>
      </c>
    </row>
    <row r="2">
      <c r="A2" s="7" t="inlineStr">
        <is>
          <t>DSK Fish</t>
        </is>
      </c>
      <c r="B2" s="8" t="inlineStr">
        <is>
          <t>MAYELEWO</t>
        </is>
      </c>
      <c r="C2" s="8" t="n">
        <v>14.5</v>
      </c>
      <c r="D2" s="9" t="n">
        <v>4.39</v>
      </c>
      <c r="E2" s="7" t="n">
        <v>1.8</v>
      </c>
    </row>
    <row r="3">
      <c r="A3" s="7" t="inlineStr">
        <is>
          <t>DSK Fish</t>
        </is>
      </c>
      <c r="B3" s="8" t="inlineStr">
        <is>
          <t>EL SUR</t>
        </is>
      </c>
      <c r="C3" s="8" t="n">
        <v>0</v>
      </c>
      <c r="D3" s="8" t="n">
        <v>0</v>
      </c>
      <c r="E3" s="8" t="n">
        <v>0</v>
      </c>
    </row>
    <row r="4">
      <c r="A4" s="7" t="inlineStr">
        <is>
          <t>DSK Fish</t>
        </is>
      </c>
      <c r="B4" s="8" t="inlineStr">
        <is>
          <t>DON FAUSTINO</t>
        </is>
      </c>
      <c r="C4" s="8" t="n">
        <v>0</v>
      </c>
      <c r="D4" s="8" t="n">
        <v>0</v>
      </c>
      <c r="E4" s="8" t="n">
        <v>0</v>
      </c>
    </row>
    <row r="5">
      <c r="A5" s="7" t="inlineStr">
        <is>
          <t>Delta Transit</t>
        </is>
      </c>
      <c r="B5" s="8" t="inlineStr">
        <is>
          <t>DON CRUZ</t>
        </is>
      </c>
      <c r="C5" s="8" t="n">
        <v>0</v>
      </c>
      <c r="D5" s="8" t="n">
        <v>0</v>
      </c>
      <c r="E5" s="8" t="n">
        <v>0</v>
      </c>
    </row>
    <row r="6">
      <c r="A6" s="7" t="inlineStr">
        <is>
          <t>Delta Transit</t>
        </is>
      </c>
      <c r="B6" s="8" t="inlineStr">
        <is>
          <t>EL SUR</t>
        </is>
      </c>
      <c r="C6" s="8" t="n">
        <v>0</v>
      </c>
      <c r="D6" s="8" t="n">
        <v>0</v>
      </c>
      <c r="E6" s="8" t="n">
        <v>0</v>
      </c>
    </row>
    <row r="7">
      <c r="A7" s="7" t="inlineStr">
        <is>
          <t>Delta Transit</t>
        </is>
      </c>
      <c r="B7" s="8" t="inlineStr">
        <is>
          <t>ARACELYS MARIA</t>
        </is>
      </c>
      <c r="C7" s="8" t="n">
        <v>0</v>
      </c>
      <c r="D7" s="8" t="n">
        <v>0</v>
      </c>
      <c r="E7" s="8" t="n">
        <v>0</v>
      </c>
    </row>
    <row r="8">
      <c r="A8" s="7" t="inlineStr">
        <is>
          <t>Delta Transit</t>
        </is>
      </c>
      <c r="B8" s="8" t="inlineStr">
        <is>
          <t>SAMANTHA DEL VALLEE</t>
        </is>
      </c>
      <c r="C8" s="8" t="n">
        <v>0</v>
      </c>
      <c r="D8" s="8" t="n">
        <v>0</v>
      </c>
      <c r="E8" s="8" t="n">
        <v>0</v>
      </c>
    </row>
    <row r="9">
      <c r="A9" s="7" t="inlineStr">
        <is>
          <t>Delta Transit</t>
        </is>
      </c>
      <c r="B9" s="8" t="inlineStr">
        <is>
          <t>PATHFINDER</t>
        </is>
      </c>
      <c r="C9" s="8" t="n">
        <v>0</v>
      </c>
      <c r="D9" s="8" t="n">
        <v>0</v>
      </c>
      <c r="E9" s="8" t="n">
        <v>0</v>
      </c>
    </row>
    <row r="10">
      <c r="A10" s="7" t="inlineStr">
        <is>
          <t>Delta Transit</t>
        </is>
      </c>
      <c r="B10" s="8" t="inlineStr">
        <is>
          <t>NATHALIA</t>
        </is>
      </c>
      <c r="C10" s="8" t="n">
        <v>0</v>
      </c>
      <c r="D10" s="8" t="n">
        <v>0</v>
      </c>
      <c r="E10" s="8" t="n">
        <v>0</v>
      </c>
    </row>
    <row r="11">
      <c r="A11" s="7" t="inlineStr">
        <is>
          <t>Poissonnerie Bapte</t>
        </is>
      </c>
      <c r="B11" s="8" t="inlineStr">
        <is>
          <t>QUEEN MARY</t>
        </is>
      </c>
      <c r="C11" s="8" t="n">
        <v>0</v>
      </c>
      <c r="D11" s="8" t="n">
        <v>0</v>
      </c>
      <c r="E11" s="8" t="n">
        <v>0</v>
      </c>
    </row>
    <row r="12">
      <c r="A12" s="7" t="inlineStr">
        <is>
          <t>Poissonnerie Bapte</t>
        </is>
      </c>
      <c r="B12" s="8" t="inlineStr">
        <is>
          <t>MARIA CELIS 2</t>
        </is>
      </c>
      <c r="C12" s="8" t="n">
        <v>0</v>
      </c>
      <c r="D12" s="8" t="n">
        <v>0</v>
      </c>
      <c r="E12" s="8" t="n">
        <v>0</v>
      </c>
    </row>
    <row r="13">
      <c r="A13" s="7" t="inlineStr">
        <is>
          <t>Poissonnerie Bapte</t>
        </is>
      </c>
      <c r="B13" s="8" t="inlineStr">
        <is>
          <t>MARIA CELIS 3</t>
        </is>
      </c>
      <c r="C13" s="8" t="n">
        <v>0</v>
      </c>
      <c r="D13" s="8" t="n">
        <v>0</v>
      </c>
      <c r="E13" s="8" t="n">
        <v>0</v>
      </c>
    </row>
    <row r="14">
      <c r="A14" s="7" t="inlineStr">
        <is>
          <t>Poissonnerie Bapte</t>
        </is>
      </c>
      <c r="B14" s="8" t="inlineStr">
        <is>
          <t>MARIA CELIS 4</t>
        </is>
      </c>
      <c r="C14" s="8" t="n">
        <v>0</v>
      </c>
      <c r="D14" s="8" t="n">
        <v>0</v>
      </c>
      <c r="E14" s="8" t="n">
        <v>0</v>
      </c>
    </row>
    <row r="15">
      <c r="A15" s="10" t="inlineStr">
        <is>
          <t>DSK Fish</t>
        </is>
      </c>
      <c r="B15" s="8" t="inlineStr">
        <is>
          <t>LA DIOSA</t>
        </is>
      </c>
      <c r="C15" s="11" t="n">
        <v>0</v>
      </c>
      <c r="D15" s="12" t="n">
        <v>0</v>
      </c>
      <c r="E15" s="10" t="n">
        <v>0</v>
      </c>
    </row>
  </sheetData>
  <dataValidations count="2">
    <dataValidation sqref="A2:A15" showDropDown="0" showInputMessage="1" showErrorMessage="1" allowBlank="1" type="list">
      <formula1>"DSK Fish,Poissonnerie Bapte,Delta Transit"</formula1>
    </dataValidation>
    <dataValidation sqref="B2:B15" showDropDown="0" showInputMessage="1" showErrorMessage="1" allowBlank="1" type="list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5" sqref="A5"/>
    </sheetView>
  </sheetViews>
  <sheetFormatPr baseColWidth="8" defaultRowHeight="15"/>
  <cols>
    <col width="18.28515625" customWidth="1" min="1" max="1"/>
    <col width="74.42578125" customWidth="1" min="2" max="2"/>
  </cols>
  <sheetData>
    <row r="1">
      <c r="A1" t="inlineStr">
        <is>
          <t xml:space="preserve">compagnie </t>
        </is>
      </c>
      <c r="B1" t="inlineStr">
        <is>
          <t>Adresse</t>
        </is>
      </c>
    </row>
    <row r="2">
      <c r="A2" t="inlineStr">
        <is>
          <t>DSK Fish</t>
        </is>
      </c>
      <c r="B2" t="inlineStr">
        <is>
          <t>53 AVENUE DES ARAWAKS, 97200 FORT DE FRANCE.</t>
        </is>
      </c>
      <c r="D2">
        <f>IF(C2&lt;&gt;"",VLOOKUP(C2,Tableau3[#All],2,0),"")</f>
        <v/>
      </c>
    </row>
    <row r="3">
      <c r="A3" t="inlineStr">
        <is>
          <t>Poissonnerie Bapte</t>
        </is>
      </c>
      <c r="B3" t="inlineStr">
        <is>
          <t>ZI de Champigny - Bât.n°11, Petite Cocotte - 97224 DUCOS</t>
        </is>
      </c>
    </row>
    <row r="4">
      <c r="A4" t="inlineStr">
        <is>
          <t xml:space="preserve">Delta Transit </t>
        </is>
      </c>
      <c r="B4" t="inlineStr">
        <is>
          <t>Immeuble Frigodom - 1ère étage, ZIP de la Pointe des Grives, 97200, FORT-DE-FRANCE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2026-04-17T14:58:38Z</dcterms:created>
  <dcterms:modified xsi:type="dcterms:W3CDTF">2026-04-23T15:58:34Z</dcterms:modified>
</cp:coreProperties>
</file>