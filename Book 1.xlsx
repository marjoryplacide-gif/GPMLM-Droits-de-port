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 defaultThemeVersion="166925"/>
  <xr:revisionPtr revIDLastSave="0" documentId="8_{8EF1E9B2-8DD4-43B9-9798-2853265DE90A}" xr6:coauthVersionLast="47" xr6:coauthVersionMax="47" xr10:uidLastSave="{00000000-0000-0000-0000-000000000000}"/>
  <bookViews>
    <workbookView xWindow="240" yWindow="105" windowWidth="14805" windowHeight="8010" activeTab="1" xr2:uid="{00000000-000D-0000-FFFF-FFFF00000000}"/>
  </bookViews>
  <sheets>
    <sheet name="Déclaration" sheetId="1" r:id="rId1"/>
    <sheet name="Caractéristique navire de pêche" sheetId="2" r:id="rId2"/>
    <sheet name="Feuil1" sheetId="3" r:id="rId3"/>
  </sheets>
  <externalReferences>
    <externalReference r:id="rId4"/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2" i="3"/>
  <c r="T2" i="1" a="1"/>
  <c r="T2" i="1"/>
  <c r="T3" i="1" a="1"/>
  <c r="T3" i="1"/>
  <c r="T4" i="1" a="1"/>
  <c r="T4" i="1"/>
  <c r="T5" i="1" a="1"/>
  <c r="T5" i="1"/>
  <c r="T6" i="1" a="1"/>
  <c r="T6" i="1"/>
  <c r="T7" i="1" a="1"/>
  <c r="T7" i="1"/>
  <c r="T8" i="1" a="1"/>
  <c r="T8" i="1"/>
  <c r="T9" i="1" a="1"/>
  <c r="T9" i="1"/>
  <c r="T10" i="1" a="1"/>
  <c r="T10" i="1"/>
  <c r="T11" i="1" a="1"/>
  <c r="T11" i="1"/>
  <c r="T12" i="1" a="1"/>
  <c r="T12" i="1"/>
  <c r="T13" i="1" a="1"/>
  <c r="T13" i="1"/>
  <c r="T14" i="1" a="1"/>
  <c r="T14" i="1"/>
  <c r="T15" i="1" a="1"/>
  <c r="T15" i="1"/>
  <c r="T16" i="1" a="1"/>
  <c r="T16" i="1"/>
  <c r="T17" i="1" a="1"/>
  <c r="T17" i="1"/>
  <c r="T18" i="1" a="1"/>
  <c r="T18" i="1"/>
  <c r="T19" i="1" a="1"/>
  <c r="T19" i="1"/>
  <c r="T20" i="1" a="1"/>
  <c r="T20" i="1"/>
  <c r="T21" i="1" a="1"/>
  <c r="T21" i="1"/>
  <c r="T22" i="1" a="1"/>
  <c r="T22" i="1"/>
  <c r="T23" i="1" a="1"/>
  <c r="T23" i="1"/>
  <c r="T24" i="1" a="1"/>
  <c r="T24" i="1"/>
  <c r="T25" i="1" a="1"/>
  <c r="T25" i="1"/>
  <c r="T26" i="1" a="1"/>
  <c r="T26" i="1"/>
  <c r="T27" i="1" a="1"/>
  <c r="T27" i="1"/>
  <c r="T28" i="1" a="1"/>
  <c r="T28" i="1"/>
  <c r="T29" i="1" a="1"/>
  <c r="T29" i="1"/>
  <c r="T30" i="1" a="1"/>
  <c r="T30" i="1"/>
  <c r="T31" i="1" a="1"/>
  <c r="T31" i="1"/>
  <c r="T32" i="1" a="1"/>
  <c r="T32" i="1"/>
  <c r="T33" i="1" a="1"/>
  <c r="T33" i="1"/>
  <c r="T34" i="1" a="1"/>
  <c r="T34" i="1"/>
  <c r="T35" i="1" a="1"/>
  <c r="T35" i="1"/>
  <c r="T36" i="1" a="1"/>
  <c r="T36" i="1"/>
  <c r="T37" i="1" a="1"/>
  <c r="T37" i="1"/>
  <c r="T38" i="1" a="1"/>
  <c r="T38" i="1"/>
  <c r="U2" i="1"/>
  <c r="U3" i="1"/>
  <c r="V2" i="1"/>
  <c r="V3" i="1"/>
  <c r="Q2" i="1"/>
  <c r="Q3" i="1"/>
  <c r="O2" i="1"/>
  <c r="N2" i="1"/>
  <c r="M2" i="1"/>
  <c r="M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P2" i="1"/>
  <c r="S2" i="1" s="1"/>
  <c r="P3" i="1"/>
  <c r="M4" i="1"/>
  <c r="P4" i="1" s="1"/>
  <c r="M5" i="1"/>
  <c r="P5" i="1" s="1"/>
  <c r="M6" i="1"/>
  <c r="P6" i="1" s="1"/>
  <c r="M7" i="1"/>
  <c r="P7" i="1" s="1"/>
  <c r="M8" i="1"/>
  <c r="P8" i="1" s="1"/>
  <c r="M9" i="1"/>
  <c r="P9" i="1" s="1"/>
  <c r="M10" i="1"/>
  <c r="P10" i="1" s="1"/>
  <c r="M11" i="1"/>
  <c r="P11" i="1" s="1"/>
  <c r="M12" i="1"/>
  <c r="P12" i="1" s="1"/>
  <c r="M13" i="1"/>
  <c r="P13" i="1" s="1"/>
  <c r="M14" i="1"/>
  <c r="P14" i="1" s="1"/>
  <c r="M15" i="1"/>
  <c r="P15" i="1" s="1"/>
  <c r="M16" i="1"/>
  <c r="P16" i="1" s="1"/>
  <c r="M17" i="1"/>
  <c r="P17" i="1" s="1"/>
  <c r="M18" i="1"/>
  <c r="P18" i="1" s="1"/>
  <c r="M19" i="1"/>
  <c r="P19" i="1" s="1"/>
  <c r="M20" i="1"/>
  <c r="P20" i="1" s="1"/>
  <c r="M21" i="1"/>
  <c r="P21" i="1" s="1"/>
  <c r="M22" i="1"/>
  <c r="P22" i="1" s="1"/>
  <c r="M23" i="1"/>
  <c r="P23" i="1" s="1"/>
  <c r="M24" i="1"/>
  <c r="P24" i="1" s="1"/>
  <c r="M25" i="1"/>
  <c r="P25" i="1" s="1"/>
  <c r="M26" i="1"/>
  <c r="P26" i="1" s="1"/>
  <c r="M27" i="1"/>
  <c r="P27" i="1" s="1"/>
  <c r="M28" i="1"/>
  <c r="P28" i="1" s="1"/>
  <c r="M29" i="1"/>
  <c r="P29" i="1" s="1"/>
  <c r="M30" i="1"/>
  <c r="P30" i="1" s="1"/>
  <c r="M31" i="1"/>
  <c r="P31" i="1" s="1"/>
  <c r="M32" i="1"/>
  <c r="P32" i="1" s="1"/>
  <c r="M33" i="1"/>
  <c r="P33" i="1" s="1"/>
  <c r="M34" i="1"/>
  <c r="P34" i="1" s="1"/>
  <c r="M35" i="1"/>
  <c r="P35" i="1" s="1"/>
  <c r="M36" i="1"/>
  <c r="P36" i="1" s="1"/>
  <c r="M37" i="1"/>
  <c r="P37" i="1" s="1"/>
  <c r="M38" i="1"/>
  <c r="P38" i="1" s="1"/>
  <c r="R38" i="1" l="1"/>
  <c r="S38" i="1"/>
  <c r="R37" i="1"/>
  <c r="S37" i="1"/>
  <c r="R36" i="1"/>
  <c r="S36" i="1"/>
  <c r="R35" i="1"/>
  <c r="S35" i="1"/>
  <c r="R34" i="1"/>
  <c r="S34" i="1"/>
  <c r="R33" i="1"/>
  <c r="S33" i="1"/>
  <c r="R32" i="1"/>
  <c r="S32" i="1"/>
  <c r="R31" i="1"/>
  <c r="S31" i="1"/>
  <c r="R30" i="1"/>
  <c r="S30" i="1"/>
  <c r="R29" i="1"/>
  <c r="S29" i="1"/>
  <c r="R28" i="1"/>
  <c r="S28" i="1"/>
  <c r="R27" i="1"/>
  <c r="S27" i="1"/>
  <c r="R26" i="1"/>
  <c r="S26" i="1"/>
  <c r="R25" i="1"/>
  <c r="S25" i="1"/>
  <c r="R24" i="1"/>
  <c r="S24" i="1"/>
  <c r="R23" i="1"/>
  <c r="S23" i="1"/>
  <c r="R22" i="1"/>
  <c r="S22" i="1"/>
  <c r="R21" i="1"/>
  <c r="S21" i="1"/>
  <c r="R20" i="1"/>
  <c r="S20" i="1"/>
  <c r="R19" i="1"/>
  <c r="S19" i="1"/>
  <c r="R18" i="1"/>
  <c r="S18" i="1"/>
  <c r="R17" i="1"/>
  <c r="S17" i="1"/>
  <c r="R16" i="1"/>
  <c r="S16" i="1"/>
  <c r="R15" i="1"/>
  <c r="S15" i="1"/>
  <c r="R14" i="1"/>
  <c r="S14" i="1"/>
  <c r="R13" i="1"/>
  <c r="S13" i="1"/>
  <c r="R12" i="1"/>
  <c r="S12" i="1"/>
  <c r="R11" i="1"/>
  <c r="S11" i="1"/>
  <c r="R10" i="1"/>
  <c r="S10" i="1"/>
  <c r="R9" i="1"/>
  <c r="S9" i="1"/>
  <c r="R8" i="1"/>
  <c r="S8" i="1"/>
  <c r="R7" i="1"/>
  <c r="S7" i="1"/>
  <c r="R6" i="1"/>
  <c r="S6" i="1"/>
  <c r="R5" i="1"/>
  <c r="S5" i="1"/>
  <c r="R4" i="1"/>
  <c r="S4" i="1"/>
  <c r="R3" i="1"/>
  <c r="S3" i="1"/>
  <c r="R2" i="1"/>
  <c r="W2" i="1" l="1"/>
  <c r="X2" i="1" s="1"/>
  <c r="Y2" i="1" s="1"/>
  <c r="Z2" i="1" s="1"/>
  <c r="W3" i="1"/>
  <c r="X3" i="1" s="1"/>
  <c r="Y3" i="1" s="1"/>
  <c r="Z3" i="1" s="1"/>
  <c r="W4" i="1"/>
  <c r="X4" i="1" s="1"/>
  <c r="Y4" i="1" s="1"/>
  <c r="Z4" i="1" s="1"/>
  <c r="W5" i="1"/>
  <c r="X5" i="1" s="1"/>
  <c r="Y5" i="1" s="1"/>
  <c r="Z5" i="1" s="1"/>
  <c r="W6" i="1"/>
  <c r="X6" i="1" s="1"/>
  <c r="Y6" i="1" s="1"/>
  <c r="Z6" i="1" s="1"/>
  <c r="W7" i="1"/>
  <c r="X7" i="1" s="1"/>
  <c r="Y7" i="1" s="1"/>
  <c r="Z7" i="1" s="1"/>
  <c r="W8" i="1"/>
  <c r="X8" i="1" s="1"/>
  <c r="Y8" i="1" s="1"/>
  <c r="Z8" i="1" s="1"/>
  <c r="W9" i="1"/>
  <c r="X9" i="1" s="1"/>
  <c r="Y9" i="1" s="1"/>
  <c r="Z9" i="1" s="1"/>
  <c r="W10" i="1"/>
  <c r="X10" i="1" s="1"/>
  <c r="Y10" i="1" s="1"/>
  <c r="Z10" i="1" s="1"/>
  <c r="W11" i="1"/>
  <c r="X11" i="1" s="1"/>
  <c r="Y11" i="1" s="1"/>
  <c r="Z11" i="1" s="1"/>
  <c r="W12" i="1"/>
  <c r="X12" i="1" s="1"/>
  <c r="Y12" i="1" s="1"/>
  <c r="Z12" i="1" s="1"/>
  <c r="W13" i="1"/>
  <c r="X13" i="1" s="1"/>
  <c r="Y13" i="1" s="1"/>
  <c r="Z13" i="1" s="1"/>
  <c r="W14" i="1"/>
  <c r="X14" i="1" s="1"/>
  <c r="Y14" i="1" s="1"/>
  <c r="Z14" i="1" s="1"/>
  <c r="W15" i="1"/>
  <c r="X15" i="1" s="1"/>
  <c r="Y15" i="1" s="1"/>
  <c r="Z15" i="1" s="1"/>
  <c r="W16" i="1"/>
  <c r="X16" i="1" s="1"/>
  <c r="Y16" i="1" s="1"/>
  <c r="Z16" i="1" s="1"/>
  <c r="W17" i="1"/>
  <c r="X17" i="1" s="1"/>
  <c r="Y17" i="1" s="1"/>
  <c r="Z17" i="1" s="1"/>
  <c r="W18" i="1"/>
  <c r="X18" i="1" s="1"/>
  <c r="Y18" i="1" s="1"/>
  <c r="Z18" i="1" s="1"/>
  <c r="W19" i="1"/>
  <c r="X19" i="1" s="1"/>
  <c r="Y19" i="1" s="1"/>
  <c r="Z19" i="1" s="1"/>
  <c r="W20" i="1"/>
  <c r="X20" i="1" s="1"/>
  <c r="Y20" i="1" s="1"/>
  <c r="Z20" i="1" s="1"/>
  <c r="W21" i="1"/>
  <c r="X21" i="1" s="1"/>
  <c r="Y21" i="1" s="1"/>
  <c r="Z21" i="1" s="1"/>
  <c r="W22" i="1"/>
  <c r="X22" i="1" s="1"/>
  <c r="Y22" i="1" s="1"/>
  <c r="Z22" i="1" s="1"/>
  <c r="W23" i="1"/>
  <c r="X23" i="1" s="1"/>
  <c r="Y23" i="1" s="1"/>
  <c r="Z23" i="1" s="1"/>
  <c r="W24" i="1"/>
  <c r="X24" i="1" s="1"/>
  <c r="Y24" i="1" s="1"/>
  <c r="Z24" i="1" s="1"/>
  <c r="W25" i="1"/>
  <c r="X25" i="1" s="1"/>
  <c r="Y25" i="1" s="1"/>
  <c r="Z25" i="1" s="1"/>
  <c r="W26" i="1"/>
  <c r="X26" i="1" s="1"/>
  <c r="Y26" i="1" s="1"/>
  <c r="Z26" i="1" s="1"/>
  <c r="W27" i="1"/>
  <c r="X27" i="1" s="1"/>
  <c r="Y27" i="1" s="1"/>
  <c r="Z27" i="1" s="1"/>
  <c r="W28" i="1"/>
  <c r="X28" i="1" s="1"/>
  <c r="Y28" i="1" s="1"/>
  <c r="Z28" i="1" s="1"/>
  <c r="W29" i="1"/>
  <c r="X29" i="1" s="1"/>
  <c r="Y29" i="1" s="1"/>
  <c r="Z29" i="1" s="1"/>
  <c r="W30" i="1"/>
  <c r="X30" i="1" s="1"/>
  <c r="Y30" i="1" s="1"/>
  <c r="Z30" i="1" s="1"/>
  <c r="W31" i="1"/>
  <c r="X31" i="1" s="1"/>
  <c r="Y31" i="1" s="1"/>
  <c r="Z31" i="1" s="1"/>
  <c r="W32" i="1"/>
  <c r="X32" i="1" s="1"/>
  <c r="Y32" i="1" s="1"/>
  <c r="Z32" i="1" s="1"/>
  <c r="W33" i="1"/>
  <c r="X33" i="1" s="1"/>
  <c r="Y33" i="1" s="1"/>
  <c r="Z33" i="1" s="1"/>
  <c r="W34" i="1"/>
  <c r="X34" i="1" s="1"/>
  <c r="Y34" i="1" s="1"/>
  <c r="Z34" i="1" s="1"/>
  <c r="W35" i="1"/>
  <c r="X35" i="1" s="1"/>
  <c r="Y35" i="1" s="1"/>
  <c r="Z35" i="1" s="1"/>
  <c r="W36" i="1"/>
  <c r="X36" i="1" s="1"/>
  <c r="Y36" i="1" s="1"/>
  <c r="Z36" i="1" s="1"/>
  <c r="W37" i="1"/>
  <c r="X37" i="1" s="1"/>
  <c r="Y37" i="1" s="1"/>
  <c r="Z37" i="1" s="1"/>
  <c r="W38" i="1"/>
  <c r="X38" i="1" s="1"/>
  <c r="Y38" i="1" s="1"/>
  <c r="Z3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<sst xmlns="http://schemas.openxmlformats.org/spreadsheetml/2006/main" count="44" uniqueCount="41">
  <si>
    <t>N° déclaration</t>
  </si>
  <si>
    <t xml:space="preserve">Mouvement </t>
  </si>
  <si>
    <t xml:space="preserve">Représentant </t>
  </si>
  <si>
    <t>Adresse du représentant</t>
  </si>
  <si>
    <t xml:space="preserve">Pavillon </t>
  </si>
  <si>
    <t>Type du navire</t>
  </si>
  <si>
    <t>Nom du navire</t>
  </si>
  <si>
    <t>Date d'entrée</t>
  </si>
  <si>
    <t xml:space="preserve">Date de sortie </t>
  </si>
  <si>
    <t xml:space="preserve">Provenance </t>
  </si>
  <si>
    <t>Zone DN</t>
  </si>
  <si>
    <t>Tonnage</t>
  </si>
  <si>
    <t xml:space="preserve">Largueur </t>
  </si>
  <si>
    <t xml:space="preserve">Longueur </t>
  </si>
  <si>
    <t xml:space="preserve">Tirant d'eau </t>
  </si>
  <si>
    <t xml:space="preserve">Volumme Taxable </t>
  </si>
  <si>
    <t>Taux de base</t>
  </si>
  <si>
    <t>Redevance Navire</t>
  </si>
  <si>
    <t>Modulation non cummulable (4)</t>
  </si>
  <si>
    <t xml:space="preserve">Abattement de fréquence </t>
  </si>
  <si>
    <t>Modulation cummulable (3)</t>
  </si>
  <si>
    <t>Redevance déchets</t>
  </si>
  <si>
    <t>Montant Brut</t>
  </si>
  <si>
    <t>Montant Net</t>
  </si>
  <si>
    <t xml:space="preserve">Montant à percevoir </t>
  </si>
  <si>
    <t>Montant Final</t>
  </si>
  <si>
    <t>Entrée</t>
  </si>
  <si>
    <t>DSK Fish</t>
  </si>
  <si>
    <t>MAYELEWO</t>
  </si>
  <si>
    <t xml:space="preserve">Compagnie </t>
  </si>
  <si>
    <t xml:space="preserve">Nom du Navire </t>
  </si>
  <si>
    <t>Longueur hors tout (m)</t>
  </si>
  <si>
    <t>Largueur maximal (m)</t>
  </si>
  <si>
    <t>Tirant d'eau (m)</t>
  </si>
  <si>
    <t xml:space="preserve">compagnie </t>
  </si>
  <si>
    <t>Adresse</t>
  </si>
  <si>
    <t>53 AVENUE DES ARAWAKS, 97200 FORT DE FRANCE.</t>
  </si>
  <si>
    <t>Poissonnerie Bapte</t>
  </si>
  <si>
    <t>ZI de Champigny - Bât.n°11, Petite Cocotte - 97224 DUCOS</t>
  </si>
  <si>
    <t xml:space="preserve">Delta Transit </t>
  </si>
  <si>
    <t>Immeuble Frigodom - 1ère étage, ZIP de la Pointe des Grives, 97200, FORT-DE-FRANCE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</si>
</sst>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2"/>
      <color rgb="FFFFFFFF"/>
      <name val="Times New Roman"/>
    </font>
    <font>
      <sz val="11"/>
      <color theme="1"/>
      <name val="Times New Roman"/>
    </font>
    <font>
      <b/>
      <sz val="14"/>
      <color rgb="FFFFFFFF"/>
      <name val="Times New Roman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rgb="FF000000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rgb="FF000000"/>
      </top>
      <bottom style="thin">
        <color rgb="FF000000"/>
      </bottom>
      <diagonal/>
    </border>
    <border>
      <left/>
      <right style="thin">
        <color theme="1" tint="0.499984740745262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theme="1" tint="0.499984740745262"/>
      </right>
      <top style="thin">
        <color rgb="FF000000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rgb="FF000000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rgb="FF000000"/>
      </top>
      <bottom style="thin">
        <color theme="1" tint="0.499984740745262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wrapText="1"/>
    </xf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</cellXfs>
  <cellStyles count="1">
    <cellStyle name="Normal" xfId="0" builtinId="0"/>
  </cellStyles>
  <dxfs count="26">
    <dxf>
      <font>
        <b val="0"/>
      </font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name val="Times New Roman"/>
      </font>
    </dxf>
    <dxf>
      <font>
        <name val="Times New Roman"/>
      </font>
    </dxf>
    <dxf>
      <numFmt numFmtId="0" formatCode="General"/>
    </dxf>
    <dxf>
      <numFmt numFmtId="0" formatCode="General"/>
    </dxf>
  </dxfs>
  <tableStyles count="0" defaultTableStyle="TableStyleMedium2" defaultPivotStyle="PivotStyleMedium9"/>
  <colors>
    <mruColors>
      <color rgb="FFFFFFFF"/>
      <color rgb="FFD9E1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ract&#233;ristiques%20Navire%20de%20p&#234;che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Repr&#233;sentant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ractéristiques Navire de pêch"/>
      <sheetName val="caractéristique navire de pêche"/>
    </sheetNames>
    <sheetDataSet>
      <sheetData sheetId="0"/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résentants"/>
    </sheetNames>
    <sheetDataSet>
      <sheetData sheetId="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829E64-7FC7-4469-8A2D-196525EA991A}" name="Tableau1" displayName="Tableau1" ref="A1:Z38" totalsRowShown="0">
  <autoFilter ref="A1:Z38" xr:uid="{75829E64-7FC7-4469-8A2D-196525EA991A}"/>
  <tableColumns count="26">
    <tableColumn id="1" xr3:uid="{B328C68C-5511-47DB-B841-C107245E021F}" name="N° déclaration"/>
    <tableColumn id="7" xr3:uid="{6A803017-4A30-4ADA-B61F-E42074DA2DF4}" name="Mouvement "/>
    <tableColumn id="23" xr3:uid="{93CE2DE0-7C7A-45E1-9724-3207DB2CDB4E}" name="Représentant "/>
    <tableColumn id="22" xr3:uid="{D4BA7D87-6CE6-4C6A-A3E8-963A5AD6FC1A}" name="Adresse du représentant" dataDxfId="25">
      <calculatedColumnFormula>IF(C2&lt;&gt;"",VLOOKUP(C2,Tableau3[#All],2,0),"")</calculatedColumnFormula>
    </tableColumn>
    <tableColumn id="24" xr3:uid="{4B28227A-132A-44FD-9835-775F0DD488A9}" name="Pavillon "/>
    <tableColumn id="26" xr3:uid="{075FFC9A-0866-419D-AD20-3E7FE0C81DB8}" name="Type du navire" dataDxfId="24">
      <calculatedColumnFormula>IF(C2&lt;&gt;"","13","")</calculatedColumnFormula>
    </tableColumn>
    <tableColumn id="2" xr3:uid="{CE31803F-2A93-4154-A7E1-1A9EEC6F3680}" name="Nom du navire"/>
    <tableColumn id="3" xr3:uid="{ACA56DAA-7AE0-43C8-A191-5A1E50CC1777}" name="Date d'entrée"/>
    <tableColumn id="4" xr3:uid="{D56340C2-6C7F-48B6-BE73-ADAB0EFCD7B1}" name="Date de sortie " dataDxfId="23"/>
    <tableColumn id="5" xr3:uid="{A2F89311-C20D-458C-B034-A604E3F7FD5D}" name="Provenance " dataDxfId="22"/>
    <tableColumn id="6" xr3:uid="{622D6CD9-FD42-4F06-A785-55691B48DE2F}" name="Zone DN"/>
    <tableColumn id="8" xr3:uid="{341457F8-4F04-40E8-9537-3EC8F4C746B2}" name="Tonnage"/>
    <tableColumn id="12" xr3:uid="{F62FADB5-4870-4A15-9554-1C372B4A4B20}" name="Largueur " dataDxfId="21">
      <calculatedColumnFormula>IF(G2&lt;&gt;"",VLOOKUP(G2,'Caractéristique navire de pêche'!$B:$E,3,0),"")</calculatedColumnFormula>
    </tableColumn>
    <tableColumn id="13" xr3:uid="{2927ADB3-96F0-4BE1-9A79-C990B0CDAE7F}" name="Longueur " dataDxfId="20">
      <calculatedColumnFormula>IF(G2&lt;&gt;"",VLOOKUP(G2,'[1]caractéristiques Navire de pêch'!$B:$E,2,0),"")</calculatedColumnFormula>
    </tableColumn>
    <tableColumn id="11" xr3:uid="{EC156DA3-0E82-4235-9B4A-22111E6FA722}" name="Tirant d'eau " dataDxfId="19">
      <calculatedColumnFormula>IF(G2&lt;&gt;"",_xlfn.LET(_xlpm.te_reel,VLOOKUP(G2,Tableau13[[#All],[Nom du Navire ]:[Tirant d''eau (m)]],4,0),_xlpm.longueur,VLOOKUP(G2,Tableau13[[#All],[Nom du Navire ]:[Tirant d''eau (m)]],2,0),_xlpm.largeur,VLOOKUP(G2,Tableau13[[#All],[Nom du Navire ]:[Tirant d''eau (m)]],3,0),_xlpm.te_theorique,0.14*SQRT(_xlpm.longueur*_xlpm.largeur),IF(_xlpm.te_reel&gt;=_xlpm.te_theorique,_xlpm.te_reel,ROUND(_xlpm.te_theorique,2))),"")</calculatedColumnFormula>
    </tableColumn>
    <tableColumn id="9" xr3:uid="{E235AE5E-5CC0-4585-9C97-1A0132BF1A07}" name="Volumme Taxable " dataDxfId="18">
      <calculatedColumnFormula>IF(AND(M2&lt;&gt;"",N2&lt;&gt;"",O2&lt;&gt;""),ROUNDUP(N2*M2*O2,0),"")</calculatedColumnFormula>
    </tableColumn>
    <tableColumn id="10" xr3:uid="{C0833D6E-2308-40FA-AD74-2CA2B2ABDF2C}" name="Taux de base" dataDxfId="17">
      <calculatedColumnFormula>IF(B2&lt;&gt;"",IF(B2="Entrée",0.366,0.228),"")</calculatedColumnFormula>
    </tableColumn>
    <tableColumn id="14" xr3:uid="{F66A31B8-5F27-4063-8944-FDBC1C894FB8}" name="Redevance Navire" dataDxfId="16">
      <calculatedColumnFormula>IF(AND(P2&lt;&gt;"",Q2&lt;&gt;""),ROUNDUP(P2*Q2,2),"")</calculatedColumnFormula>
    </tableColumn>
    <tableColumn id="17" xr3:uid="{A5F8D501-9036-4F46-9EAA-6E8739664B7C}" name="Modulation non cummulable (4)" dataDxfId="15">
      <calculatedColumnFormula>IF(AND(L2&lt;&gt;"",P2&lt;&gt;""),IF(L2/P2&gt;2/15,0,IF(L2/P2&gt;1/10,-0.1,IF(L2/P2&gt;1/20,-0.3,IF(L2/P2&gt;1/40,-0.5,IF(L2/P2&gt;1/100,-0.6,IF(L2/P2&gt;1/250,-0.7,IF(L2/P2&gt;1/500,-0.8,-0.95))))))),"")</calculatedColumnFormula>
    </tableColumn>
    <tableColumn id="25" xr3:uid="{1254D2F4-AB89-41BD-B0D2-E1438C929EC7}" name="Abattement de fréquence " dataDxfId="14">
      <calculatedColumnFormula array="1">IF(G2&lt;&gt;"",IF(COUNTIFS($G$2:G2,G2,$H$2:H2,"&gt;="&amp;DATE(YEAR(H2),1,1),$H$2:H2,"&lt;="&amp;DATE(YEAR(Q:QH2),12,31))&lt;=6,0,IF(COUNTIFS($G$2:G2,G2,$H$2:H2,"&gt;="&amp;DATE(YEAR(H2),1,1),$H$2:H2,"&lt;="&amp;DATE(YEAR(H2),12,31))&lt;=15,-0.1,IF(COUNTIFS($G$2:G2,G2,$H$2:H2,"&gt;="&amp;DATE(YEAR(H2),1,1),$H$2:H2,"&lt;="&amp;DATE(YEAR(H2),12,31))&lt;=30,-0.15,IF(COUNTIFS($G$2:G2,G2,$H$2:H2,"&gt;="&amp;DATE(YEAR(H2),1,1),$H$2:H2,"&lt;="&amp;DATE(YEAR(H2),12,31))&lt;=60,-0.2,IF(COUNTIFS($G$2:G2,G2,$H$2:H2,"&gt;="&amp;DATE(YEAR(H2),1,1),$H$2:H2,"&lt;="&amp;DATE(YEAR(H2),12,31))&lt;=120,-0.25,-0.3))))),"")</calculatedColumnFormula>
    </tableColumn>
    <tableColumn id="16" xr3:uid="{31494260-798A-4AE8-90D6-75F1191C334B}" name="Modulation cummulable (3)" dataDxfId="13">
      <calculatedColumnFormula>IF(G2&lt;&gt;"",0,"")</calculatedColumnFormula>
    </tableColumn>
    <tableColumn id="15" xr3:uid="{A421E24A-9428-4D77-A32C-2534ADDB3299}" name="Redevance déchets" dataDxfId="12">
      <calculatedColumnFormula>IF(AND(G2&lt;&gt;"",B2="Entrée"),65,"")</calculatedColumnFormula>
    </tableColumn>
    <tableColumn id="18" xr3:uid="{78149C42-BFEE-45D3-BBAA-4327918E2439}" name="Montant Brut" dataDxfId="11">
      <calculatedColumnFormula>IF(AND(R2&lt;&gt;"",S2&lt;&gt;""),ROUNDUP(R2*(1+S2),2),"")</calculatedColumnFormula>
    </tableColumn>
    <tableColumn id="19" xr3:uid="{3EA6394C-380A-40DC-BDA4-599FB7FBCDF6}" name="Montant Net" dataDxfId="10">
      <calculatedColumnFormula>IF(W2&lt;&gt;"",W2+V2,"")</calculatedColumnFormula>
    </tableColumn>
    <tableColumn id="20" xr3:uid="{41AF65D6-37C3-4266-B518-CBAFEB68966A}" name="Montant à percevoir " dataDxfId="9">
      <calculatedColumnFormula>IF(X2&lt;&gt;"",IF(X2&lt;9,0,IF(X2&lt;=16,16,X2)),"")</calculatedColumnFormula>
    </tableColumn>
    <tableColumn id="21" xr3:uid="{20F59A93-CE99-45BF-AAF7-8DAC383C7A12}" name="Montant Final" dataDxfId="8">
      <calculatedColumnFormula>IF(Y2&lt;&gt;"",Y2,"")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EF6C966-3BDB-42E8-860E-1440AB71A0E5}" name="Tableau13" displayName="Tableau13" ref="A1:E15" totalsRowShown="0" headerRowDxfId="7" headerRowBorderDxfId="6" totalsRowBorderDxfId="5">
  <autoFilter ref="A1:E15" xr:uid="{5EF6C966-3BDB-42E8-860E-1440AB71A0E5}"/>
  <tableColumns count="5">
    <tableColumn id="1" xr3:uid="{FEF8928F-5632-49AC-8AA4-1B2179228900}" name="Compagnie " dataDxfId="4"/>
    <tableColumn id="2" xr3:uid="{04650E0C-BE4E-4678-A0DD-1DFA856CD2D2}" name="Nom du Navire " dataDxfId="3"/>
    <tableColumn id="3" xr3:uid="{C0D2A2EE-68E3-4E91-A04D-F97AFF24795B}" name="Longueur hors tout (m)" dataDxfId="2"/>
    <tableColumn id="4" xr3:uid="{FE2D340F-75DE-46D9-A3BC-590D78911AFB}" name="Largueur maximal (m)" dataDxfId="1"/>
    <tableColumn id="5" xr3:uid="{F0F0FE3B-DD6B-4B03-83EF-1008E4C5DA32}" name="Tirant d'eau (m)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1D3B555-C5AA-42C1-A04E-293D05057206}" name="Tableau3" displayName="Tableau3" ref="A1:B5" totalsRowShown="0">
  <autoFilter ref="A1:B5" xr:uid="{A1D3B555-C5AA-42C1-A04E-293D05057206}"/>
  <tableColumns count="2">
    <tableColumn id="1" xr3:uid="{0FCA8284-7ADD-4D44-90F1-2AE15953068A}" name="compagnie "/>
    <tableColumn id="2" xr3:uid="{3F62246E-E26A-478D-8503-1E916D13A93C}" name="Adres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8"/>
  <sheetViews>
    <sheetView topLeftCell="T1" workbookViewId="0">
      <selection activeCell="AE2" sqref="AE2"/>
    </sheetView>
  </sheetViews>
  <sheetFormatPr defaultRowHeight="15"/>
  <cols>
    <col min="1" max="1" width="22.42578125" customWidth="1"/>
    <col min="2" max="2" width="15.42578125" bestFit="1" customWidth="1"/>
    <col min="3" max="3" width="22.42578125" customWidth="1"/>
    <col min="4" max="4" width="48.85546875" customWidth="1"/>
    <col min="5" max="5" width="12" customWidth="1"/>
    <col min="6" max="6" width="18.140625" customWidth="1"/>
    <col min="7" max="7" width="18.7109375" customWidth="1"/>
    <col min="8" max="8" width="16.28515625" bestFit="1" customWidth="1"/>
    <col min="9" max="9" width="17.140625" style="2" bestFit="1" customWidth="1"/>
    <col min="10" max="10" width="15.140625" style="2" bestFit="1" customWidth="1"/>
    <col min="11" max="11" width="12" bestFit="1" customWidth="1"/>
    <col min="12" max="12" width="11.7109375" bestFit="1" customWidth="1"/>
    <col min="13" max="14" width="13.5703125" bestFit="1" customWidth="1"/>
    <col min="15" max="15" width="14.28515625" bestFit="1" customWidth="1"/>
    <col min="16" max="16" width="21.7109375" bestFit="1" customWidth="1"/>
    <col min="17" max="17" width="16" bestFit="1" customWidth="1"/>
    <col min="18" max="18" width="20.85546875" bestFit="1" customWidth="1"/>
    <col min="19" max="19" width="32" bestFit="1" customWidth="1"/>
    <col min="20" max="20" width="32" customWidth="1"/>
    <col min="21" max="21" width="28" bestFit="1" customWidth="1"/>
    <col min="22" max="22" width="20.140625" bestFit="1" customWidth="1"/>
    <col min="23" max="23" width="16.85546875" bestFit="1" customWidth="1"/>
    <col min="24" max="24" width="15.7109375" bestFit="1" customWidth="1"/>
    <col min="25" max="25" width="21.85546875" bestFit="1" customWidth="1"/>
    <col min="26" max="26" width="17.140625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t="s">
        <v>14</v>
      </c>
      <c r="P1" s="1" t="s">
        <v>15</v>
      </c>
      <c r="Q1" s="1" t="s">
        <v>16</v>
      </c>
      <c r="R1" s="1" t="s">
        <v>17</v>
      </c>
      <c r="S1" t="s">
        <v>18</v>
      </c>
      <c r="T1" t="s">
        <v>19</v>
      </c>
      <c r="U1" t="s">
        <v>20</v>
      </c>
      <c r="V1" t="s">
        <v>21</v>
      </c>
      <c r="W1" s="1" t="s">
        <v>22</v>
      </c>
      <c r="X1" s="1" t="s">
        <v>23</v>
      </c>
      <c r="Y1" t="s">
        <v>24</v>
      </c>
      <c r="Z1" s="3" t="s">
        <v>25</v>
      </c>
    </row>
    <row r="2" spans="1:26">
      <c r="B2" t="s">
        <v>26</v>
      </c>
      <c r="C2" t="s">
        <v>27</v>
      </c>
      <c r="D2" t="str">
        <f>IF(C2&lt;&gt;"",VLOOKUP(C2,Tableau3[#All],2,0),"")</f>
        <v>53 AVENUE DES ARAWAKS, 97200 FORT DE FRANCE.</v>
      </c>
      <c r="F2" t="str">
        <f t="shared" ref="F2:F38" si="0">IF(C2&lt;&gt;"","13","")</f>
        <v>13</v>
      </c>
      <c r="G2" t="s">
        <v>28</v>
      </c>
      <c r="L2">
        <v>2.6840000000000002</v>
      </c>
      <c r="M2">
        <f>IF(G2&lt;&gt;"",VLOOKUP(G2,'Caractéristique navire de pêche'!$B:$E,3,0),"")</f>
        <v>4.3899999999999997</v>
      </c>
      <c r="N2">
        <f>IF(G2&lt;&gt;"",VLOOKUP(G2,'Caractéristique navire de pêche'!$B:$E,2,0),"")</f>
        <v>14.5</v>
      </c>
      <c r="O2">
        <f>IF(G2&lt;&gt;"",_xlfn.LET(_xlpm.te_reel,VLOOKUP(G2,'Caractéristique navire de pêche'!$B:$E,4,0),_xlpm.longueur,VLOOKUP(G2,'Caractéristique navire de pêche'!$B:$E,2,0),_xlpm.largeur,VLOOKUP(G2,'Caractéristique navire de pêche'!$B:$E,3,0),_xlpm.te_theorique,0.14*SQRT(_xlpm.longueur*_xlpm.largeur),IF(_xlpm.te_reel&gt;=_xlpm.te_theorique,_xlpm.te_reel,ROUND(_xlpm.te_theorique,2))),"")</f>
        <v>1.8</v>
      </c>
      <c r="P2">
        <f t="shared" ref="P2:P38" si="1">IF(AND(M2&lt;&gt;"",N2&lt;&gt;"",O2&lt;&gt;""),ROUNDUP(N2*M2*O2,0),"")</f>
        <v>115</v>
      </c>
      <c r="Q2">
        <f>IF(B2&lt;&gt;"",IF(B2="Entrée",0.366,0.228),"")</f>
        <v>0.36599999999999999</v>
      </c>
      <c r="R2">
        <f t="shared" ref="R2:R38" si="2">IF(AND(P2&lt;&gt;"",Q2&lt;&gt;""),ROUNDUP(P2*Q2,2),"")</f>
        <v>42.09</v>
      </c>
      <c r="S2">
        <f>IF(AND(L2&lt;&gt;"",P2&lt;&gt;""),IF(L2/P2&gt;2/15,0,IF(L2/P2&gt;1/10,-0.1,IF(L2/P2&gt;1/20,-0.3,IF(L2/P2&gt;1/40,-0.5,IF(L2/P2&gt;1/100,-0.6,IF(L2/P2&gt;1/250,-0.7,IF(L2/P2&gt;1/500,-0.8,-0.95))))))),"")</f>
        <v>-0.6</v>
      </c>
      <c r="T2" cm="1">
        <f t="array" aca="1" ref="T2" ca="1">IF(G2&lt;&gt;"",IF(COUNTIFS($G$2:G2,G2,$H$2:H2,"&gt;="&amp;DATE(YEAR(H2),1,1),$H$2:H2,"&lt;="&amp;DATE(YEAR(Q:QH2),12,31))&lt;=6,0,IF(COUNTIFS($G$2:G2,G2,$H$2:H2,"&gt;="&amp;DATE(YEAR(H2),1,1),$H$2:H2,"&lt;="&amp;DATE(YEAR(H2),12,31))&lt;=15,-0.1,IF(COUNTIFS($G$2:G2,G2,$H$2:H2,"&gt;="&amp;DATE(YEAR(H2),1,1),$H$2:H2,"&lt;="&amp;DATE(YEAR(H2),12,31))&lt;=30,-0.15,IF(COUNTIFS($G$2:G2,G2,$H$2:H2,"&gt;="&amp;DATE(YEAR(H2),1,1),$H$2:H2,"&lt;="&amp;DATE(YEAR(H2),12,31))&lt;=60,-0.2,IF(COUNTIFS($G$2:G2,G2,$H$2:H2,"&gt;="&amp;DATE(YEAR(H2),1,1),$H$2:H2,"&lt;="&amp;DATE(YEAR(H2),12,31))&lt;=120,-0.25,-0.3))))),"")</f>
        <v>0</v>
      </c>
      <c r="U2">
        <f>IF(G2&lt;&gt;"",0,"")</f>
        <v>0</v>
      </c>
      <c r="V2">
        <f>IF(AND(G2&lt;&gt;"",B2="Entrée"),65,"")</f>
        <v>65</v>
      </c>
      <c r="W2">
        <f t="shared" ref="W2:W38" si="3">IF(AND(R2&lt;&gt;"",S2&lt;&gt;""),ROUNDUP(R2*(1+S2),2),"")</f>
        <v>16.84</v>
      </c>
      <c r="X2">
        <f t="shared" ref="X2:X38" si="4">IF(W2&lt;&gt;"",W2+V2,"")</f>
        <v>81.84</v>
      </c>
      <c r="Y2">
        <f t="shared" ref="Y2:Y38" si="5">IF(X2&lt;&gt;"",IF(X2&lt;9,0,IF(X2&lt;=16,16,X2)),"")</f>
        <v>81.84</v>
      </c>
      <c r="Z2">
        <f t="shared" ref="Z2:Z38" si="6">IF(Y2&lt;&gt;"",Y2,"")</f>
        <v>81.84</v>
      </c>
    </row>
    <row r="3" spans="1:26">
      <c r="D3" t="str">
        <f>IF(C3&lt;&gt;"",VLOOKUP(C3,Tableau3[#All],2,0),"")</f>
        <v/>
      </c>
      <c r="F3" t="str">
        <f t="shared" si="0"/>
        <v/>
      </c>
      <c r="M3" t="str">
        <f>IF(G3&lt;&gt;"",VLOOKUP(G3,'Caractéristique navire de pêche'!$B:$E,3,0),"")</f>
        <v/>
      </c>
      <c r="O3" t="str">
        <f>IF(G3&lt;&gt;"",_xlfn.LET(_xlpm.te_reel,VLOOKUP(G3,Tableau13[[#All],[Nom du Navire ]:[Tirant d''eau (m)]],4,0),_xlpm.longueur,VLOOKUP(G3,Tableau13[[#All],[Nom du Navire ]:[Tirant d''eau (m)]],2,0),_xlpm.largeur,VLOOKUP(G3,Tableau13[[#All],[Nom du Navire ]:[Tirant d''eau (m)]],3,0),_xlpm.te_theorique,0.14*SQRT(_xlpm.longueur*_xlpm.largeur),IF(_xlpm.te_reel&gt;=_xlpm.te_theorique,_xlpm.te_reel,ROUND(_xlpm.te_theorique,2))),"")</f>
        <v/>
      </c>
      <c r="P3" t="str">
        <f t="shared" si="1"/>
        <v/>
      </c>
      <c r="Q3" t="str">
        <f>IF(B3&lt;&gt;"",IF(B3="Entrée",0.366,0.228),"")</f>
        <v/>
      </c>
      <c r="R3" t="str">
        <f t="shared" si="2"/>
        <v/>
      </c>
      <c r="S3" t="str">
        <f t="shared" ref="S3:S38" si="7">IF(AND(L3&lt;&gt;"",P3&lt;&gt;""),IF(L3/P3&gt;2/15,0,IF(L3/P3&gt;1/10,-0.1,IF(L3/P3&gt;1/20,-0.3,IF(L3/P3&gt;1/40,-0.5,IF(L3/P3&gt;1/100,-0.6,IF(L3/P3&gt;1/250,-0.7,IF(L3/P3&gt;1/500,-0.8,-0.95))))))),"")</f>
        <v/>
      </c>
      <c r="T3" t="str" cm="1">
        <f t="array" ref="T3">IF(G3&lt;&gt;"",IF(COUNTIFS($G$2:G3,G3,$H$2:H3,"&gt;="&amp;DATE(YEAR(H3),1,1),$H$2:H3,"&lt;="&amp;DATE(YEAR(Q:QH3),12,31))&lt;=6,0,IF(COUNTIFS($G$2:G3,G3,$H$2:H3,"&gt;="&amp;DATE(YEAR(H3),1,1),$H$2:H3,"&lt;="&amp;DATE(YEAR(H3),12,31))&lt;=15,-0.1,IF(COUNTIFS($G$2:G3,G3,$H$2:H3,"&gt;="&amp;DATE(YEAR(H3),1,1),$H$2:H3,"&lt;="&amp;DATE(YEAR(H3),12,31))&lt;=30,-0.15,IF(COUNTIFS($G$2:G3,G3,$H$2:H3,"&gt;="&amp;DATE(YEAR(H3),1,1),$H$2:H3,"&lt;="&amp;DATE(YEAR(H3),12,31))&lt;=60,-0.2,IF(COUNTIFS($G$2:G3,G3,$H$2:H3,"&gt;="&amp;DATE(YEAR(H3),1,1),$H$2:H3,"&lt;="&amp;DATE(YEAR(H3),12,31))&lt;=120,-0.25,-0.3))))),"")</f>
        <v/>
      </c>
      <c r="U3" t="str">
        <f>IF(G3&lt;&gt;"",0,"")</f>
        <v/>
      </c>
      <c r="V3" t="str">
        <f>IF(AND(G3&lt;&gt;"",B3="Entrée"),65,"")</f>
        <v/>
      </c>
      <c r="W3" t="str">
        <f t="shared" si="3"/>
        <v/>
      </c>
      <c r="X3" t="str">
        <f t="shared" si="4"/>
        <v/>
      </c>
      <c r="Y3" t="str">
        <f t="shared" si="5"/>
        <v/>
      </c>
      <c r="Z3" t="str">
        <f t="shared" si="6"/>
        <v/>
      </c>
    </row>
    <row r="4" spans="1:26">
      <c r="D4" t="str">
        <f>IF(C4&lt;&gt;"",VLOOKUP(C4,Tableau3[#All],2,0),"")</f>
        <v/>
      </c>
      <c r="F4" t="str">
        <f t="shared" si="0"/>
        <v/>
      </c>
      <c r="M4" t="str">
        <f>IF(G4&lt;&gt;"",VLOOKUP(G4,'Caractéristique navire de pêche'!$B:$E,3,0),"")</f>
        <v/>
      </c>
      <c r="N4" t="str">
        <f>IF(G4&lt;&gt;"",VLOOKUP(G4,'[1]caractéristiques Navire de pêch'!$B:$E,2,0),"")</f>
        <v/>
      </c>
      <c r="O4" t="str">
        <f>IF(G4&lt;&gt;"",_xlfn.LET(_xlpm.te_reel,VLOOKUP(G4,Tableau13[[#All],[Nom du Navire ]:[Tirant d''eau (m)]],4,0),_xlpm.longueur,VLOOKUP(G4,Tableau13[[#All],[Nom du Navire ]:[Tirant d''eau (m)]],2,0),_xlpm.largeur,VLOOKUP(G4,Tableau13[[#All],[Nom du Navire ]:[Tirant d''eau (m)]],3,0),_xlpm.te_theorique,0.14*SQRT(_xlpm.longueur*_xlpm.largeur),IF(_xlpm.te_reel&gt;=_xlpm.te_theorique,_xlpm.te_reel,ROUND(_xlpm.te_theorique,2))),"")</f>
        <v/>
      </c>
      <c r="P4" t="str">
        <f t="shared" si="1"/>
        <v/>
      </c>
      <c r="Q4" t="str">
        <f>IF(B4&lt;&gt;"",IF(B4="Entrée",0.366,0.228),"")</f>
        <v/>
      </c>
      <c r="R4" t="str">
        <f t="shared" si="2"/>
        <v/>
      </c>
      <c r="S4" t="str">
        <f t="shared" si="7"/>
        <v/>
      </c>
      <c r="T4" t="str" cm="1">
        <f t="array" ref="T4">IF(G4&lt;&gt;"",IF(COUNTIFS($G$2:G4,G4,$H$2:H4,"&gt;="&amp;DATE(YEAR(H4),1,1),$H$2:H4,"&lt;="&amp;DATE(YEAR(Q:QH4),12,31))&lt;=6,0,IF(COUNTIFS($G$2:G4,G4,$H$2:H4,"&gt;="&amp;DATE(YEAR(H4),1,1),$H$2:H4,"&lt;="&amp;DATE(YEAR(H4),12,31))&lt;=15,-0.1,IF(COUNTIFS($G$2:G4,G4,$H$2:H4,"&gt;="&amp;DATE(YEAR(H4),1,1),$H$2:H4,"&lt;="&amp;DATE(YEAR(H4),12,31))&lt;=30,-0.15,IF(COUNTIFS($G$2:G4,G4,$H$2:H4,"&gt;="&amp;DATE(YEAR(H4),1,1),$H$2:H4,"&lt;="&amp;DATE(YEAR(H4),12,31))&lt;=60,-0.2,IF(COUNTIFS($G$2:G4,G4,$H$2:H4,"&gt;="&amp;DATE(YEAR(H4),1,1),$H$2:H4,"&lt;="&amp;DATE(YEAR(H4),12,31))&lt;=120,-0.25,-0.3))))),"")</f>
        <v/>
      </c>
      <c r="U4" t="str">
        <f>IF(G4&lt;&gt;"",0,"")</f>
        <v/>
      </c>
      <c r="V4" t="str">
        <f>IF(AND(G4&lt;&gt;"",B4="Entrée"),65,"")</f>
        <v/>
      </c>
      <c r="W4" t="str">
        <f t="shared" si="3"/>
        <v/>
      </c>
      <c r="X4" t="str">
        <f t="shared" si="4"/>
        <v/>
      </c>
      <c r="Y4" t="str">
        <f t="shared" si="5"/>
        <v/>
      </c>
      <c r="Z4" t="str">
        <f t="shared" si="6"/>
        <v/>
      </c>
    </row>
    <row r="5" spans="1:26">
      <c r="D5" t="str">
        <f>IF(C5&lt;&gt;"",VLOOKUP(C5,Tableau3[#All],2,0),"")</f>
        <v/>
      </c>
      <c r="F5" t="str">
        <f t="shared" si="0"/>
        <v/>
      </c>
      <c r="M5" t="str">
        <f>IF(G5&lt;&gt;"",VLOOKUP(G5,'Caractéristique navire de pêche'!$B:$E,3,0),"")</f>
        <v/>
      </c>
      <c r="N5" t="str">
        <f>IF(G5&lt;&gt;"",VLOOKUP(G5,'[1]caractéristiques Navire de pêch'!$B:$E,2,0),"")</f>
        <v/>
      </c>
      <c r="O5" t="str">
        <f>IF(G5&lt;&gt;"",_xlfn.LET(_xlpm.te_reel,VLOOKUP(G5,Tableau13[[#All],[Nom du Navire ]:[Tirant d''eau (m)]],4,0),_xlpm.longueur,VLOOKUP(G5,Tableau13[[#All],[Nom du Navire ]:[Tirant d''eau (m)]],2,0),_xlpm.largeur,VLOOKUP(G5,Tableau13[[#All],[Nom du Navire ]:[Tirant d''eau (m)]],3,0),_xlpm.te_theorique,0.14*SQRT(_xlpm.longueur*_xlpm.largeur),IF(_xlpm.te_reel&gt;=_xlpm.te_theorique,_xlpm.te_reel,ROUND(_xlpm.te_theorique,2))),"")</f>
        <v/>
      </c>
      <c r="P5" t="str">
        <f t="shared" si="1"/>
        <v/>
      </c>
      <c r="Q5" t="str">
        <f>IF(B5&lt;&gt;"",IF(B5="Entrée",0.366,0.228),"")</f>
        <v/>
      </c>
      <c r="R5" t="str">
        <f t="shared" si="2"/>
        <v/>
      </c>
      <c r="S5" t="str">
        <f t="shared" si="7"/>
        <v/>
      </c>
      <c r="T5" t="str" cm="1">
        <f t="array" ref="T5">IF(G5&lt;&gt;"",IF(COUNTIFS($G$2:G5,G5,$H$2:H5,"&gt;="&amp;DATE(YEAR(H5),1,1),$H$2:H5,"&lt;="&amp;DATE(YEAR(Q:QH5),12,31))&lt;=6,0,IF(COUNTIFS($G$2:G5,G5,$H$2:H5,"&gt;="&amp;DATE(YEAR(H5),1,1),$H$2:H5,"&lt;="&amp;DATE(YEAR(H5),12,31))&lt;=15,-0.1,IF(COUNTIFS($G$2:G5,G5,$H$2:H5,"&gt;="&amp;DATE(YEAR(H5),1,1),$H$2:H5,"&lt;="&amp;DATE(YEAR(H5),12,31))&lt;=30,-0.15,IF(COUNTIFS($G$2:G5,G5,$H$2:H5,"&gt;="&amp;DATE(YEAR(H5),1,1),$H$2:H5,"&lt;="&amp;DATE(YEAR(H5),12,31))&lt;=60,-0.2,IF(COUNTIFS($G$2:G5,G5,$H$2:H5,"&gt;="&amp;DATE(YEAR(H5),1,1),$H$2:H5,"&lt;="&amp;DATE(YEAR(H5),12,31))&lt;=120,-0.25,-0.3))))),"")</f>
        <v/>
      </c>
      <c r="U5" t="str">
        <f>IF(G5&lt;&gt;"",0,"")</f>
        <v/>
      </c>
      <c r="V5" t="str">
        <f>IF(AND(G5&lt;&gt;"",B5="Entrée"),65,"")</f>
        <v/>
      </c>
      <c r="W5" t="str">
        <f t="shared" si="3"/>
        <v/>
      </c>
      <c r="X5" t="str">
        <f t="shared" si="4"/>
        <v/>
      </c>
      <c r="Y5" t="str">
        <f t="shared" si="5"/>
        <v/>
      </c>
      <c r="Z5" t="str">
        <f t="shared" si="6"/>
        <v/>
      </c>
    </row>
    <row r="6" spans="1:26">
      <c r="D6" t="str">
        <f>IF(C6&lt;&gt;"",VLOOKUP(C6,Tableau3[#All],2,0),"")</f>
        <v/>
      </c>
      <c r="F6" t="str">
        <f t="shared" si="0"/>
        <v/>
      </c>
      <c r="M6" t="str">
        <f>IF(G6&lt;&gt;"",VLOOKUP(G6,'Caractéristique navire de pêche'!$B:$E,3,0),"")</f>
        <v/>
      </c>
      <c r="N6" t="str">
        <f>IF(G6&lt;&gt;"",VLOOKUP(G6,'[1]caractéristiques Navire de pêch'!$B:$E,2,0),"")</f>
        <v/>
      </c>
      <c r="O6" t="str">
        <f>IF(G6&lt;&gt;"",_xlfn.LET(_xlpm.te_reel,VLOOKUP(G6,Tableau13[[#All],[Nom du Navire ]:[Tirant d''eau (m)]],4,0),_xlpm.longueur,VLOOKUP(G6,Tableau13[[#All],[Nom du Navire ]:[Tirant d''eau (m)]],2,0),_xlpm.largeur,VLOOKUP(G6,Tableau13[[#All],[Nom du Navire ]:[Tirant d''eau (m)]],3,0),_xlpm.te_theorique,0.14*SQRT(_xlpm.longueur*_xlpm.largeur),IF(_xlpm.te_reel&gt;=_xlpm.te_theorique,_xlpm.te_reel,ROUND(_xlpm.te_theorique,2))),"")</f>
        <v/>
      </c>
      <c r="P6" t="str">
        <f t="shared" si="1"/>
        <v/>
      </c>
      <c r="Q6" t="str">
        <f>IF(B6&lt;&gt;"",IF(B6="Entrée",0.366,0.228),"")</f>
        <v/>
      </c>
      <c r="R6" t="str">
        <f t="shared" si="2"/>
        <v/>
      </c>
      <c r="S6" t="str">
        <f t="shared" si="7"/>
        <v/>
      </c>
      <c r="T6" t="str" cm="1">
        <f t="array" ref="T6">IF(G6&lt;&gt;"",IF(COUNTIFS($G$2:G6,G6,$H$2:H6,"&gt;="&amp;DATE(YEAR(H6),1,1),$H$2:H6,"&lt;="&amp;DATE(YEAR(Q:QH6),12,31))&lt;=6,0,IF(COUNTIFS($G$2:G6,G6,$H$2:H6,"&gt;="&amp;DATE(YEAR(H6),1,1),$H$2:H6,"&lt;="&amp;DATE(YEAR(H6),12,31))&lt;=15,-0.1,IF(COUNTIFS($G$2:G6,G6,$H$2:H6,"&gt;="&amp;DATE(YEAR(H6),1,1),$H$2:H6,"&lt;="&amp;DATE(YEAR(H6),12,31))&lt;=30,-0.15,IF(COUNTIFS($G$2:G6,G6,$H$2:H6,"&gt;="&amp;DATE(YEAR(H6),1,1),$H$2:H6,"&lt;="&amp;DATE(YEAR(H6),12,31))&lt;=60,-0.2,IF(COUNTIFS($G$2:G6,G6,$H$2:H6,"&gt;="&amp;DATE(YEAR(H6),1,1),$H$2:H6,"&lt;="&amp;DATE(YEAR(H6),12,31))&lt;=120,-0.25,-0.3))))),"")</f>
        <v/>
      </c>
      <c r="U6" t="str">
        <f>IF(G6&lt;&gt;"",0,"")</f>
        <v/>
      </c>
      <c r="V6" t="str">
        <f>IF(AND(G6&lt;&gt;"",B6="Entrée"),65,"")</f>
        <v/>
      </c>
      <c r="W6" t="str">
        <f t="shared" si="3"/>
        <v/>
      </c>
      <c r="X6" t="str">
        <f t="shared" si="4"/>
        <v/>
      </c>
      <c r="Y6" t="str">
        <f t="shared" si="5"/>
        <v/>
      </c>
      <c r="Z6" t="str">
        <f t="shared" si="6"/>
        <v/>
      </c>
    </row>
    <row r="7" spans="1:26">
      <c r="D7" t="str">
        <f>IF(C7&lt;&gt;"",VLOOKUP(C7,Tableau3[#All],2,0),"")</f>
        <v/>
      </c>
      <c r="F7" t="str">
        <f t="shared" si="0"/>
        <v/>
      </c>
      <c r="M7" t="str">
        <f>IF(G7&lt;&gt;"",VLOOKUP(G7,'Caractéristique navire de pêche'!$B:$E,3,0),"")</f>
        <v/>
      </c>
      <c r="N7" t="str">
        <f>IF(G7&lt;&gt;"",VLOOKUP(G7,'[1]caractéristiques Navire de pêch'!$B:$E,2,0),"")</f>
        <v/>
      </c>
      <c r="O7" t="str">
        <f>IF(G7&lt;&gt;"",_xlfn.LET(_xlpm.te_reel,VLOOKUP(G7,Tableau13[[#All],[Nom du Navire ]:[Tirant d''eau (m)]],4,0),_xlpm.longueur,VLOOKUP(G7,Tableau13[[#All],[Nom du Navire ]:[Tirant d''eau (m)]],2,0),_xlpm.largeur,VLOOKUP(G7,Tableau13[[#All],[Nom du Navire ]:[Tirant d''eau (m)]],3,0),_xlpm.te_theorique,0.14*SQRT(_xlpm.longueur*_xlpm.largeur),IF(_xlpm.te_reel&gt;=_xlpm.te_theorique,_xlpm.te_reel,ROUND(_xlpm.te_theorique,2))),"")</f>
        <v/>
      </c>
      <c r="P7" t="str">
        <f t="shared" si="1"/>
        <v/>
      </c>
      <c r="Q7" t="str">
        <f>IF(B7&lt;&gt;"",IF(B7="Entrée",0.366,0.228),"")</f>
        <v/>
      </c>
      <c r="R7" t="str">
        <f t="shared" si="2"/>
        <v/>
      </c>
      <c r="S7" t="str">
        <f t="shared" si="7"/>
        <v/>
      </c>
      <c r="T7" t="str" cm="1">
        <f t="array" ref="T7">IF(G7&lt;&gt;"",IF(COUNTIFS($G$2:G7,G7,$H$2:H7,"&gt;="&amp;DATE(YEAR(H7),1,1),$H$2:H7,"&lt;="&amp;DATE(YEAR(Q:QH7),12,31))&lt;=6,0,IF(COUNTIFS($G$2:G7,G7,$H$2:H7,"&gt;="&amp;DATE(YEAR(H7),1,1),$H$2:H7,"&lt;="&amp;DATE(YEAR(H7),12,31))&lt;=15,-0.1,IF(COUNTIFS($G$2:G7,G7,$H$2:H7,"&gt;="&amp;DATE(YEAR(H7),1,1),$H$2:H7,"&lt;="&amp;DATE(YEAR(H7),12,31))&lt;=30,-0.15,IF(COUNTIFS($G$2:G7,G7,$H$2:H7,"&gt;="&amp;DATE(YEAR(H7),1,1),$H$2:H7,"&lt;="&amp;DATE(YEAR(H7),12,31))&lt;=60,-0.2,IF(COUNTIFS($G$2:G7,G7,$H$2:H7,"&gt;="&amp;DATE(YEAR(H7),1,1),$H$2:H7,"&lt;="&amp;DATE(YEAR(H7),12,31))&lt;=120,-0.25,-0.3))))),"")</f>
        <v/>
      </c>
      <c r="U7" t="str">
        <f>IF(G7&lt;&gt;"",0,"")</f>
        <v/>
      </c>
      <c r="V7" t="str">
        <f>IF(AND(G7&lt;&gt;"",B7="Entrée"),65,"")</f>
        <v/>
      </c>
      <c r="W7" t="str">
        <f t="shared" si="3"/>
        <v/>
      </c>
      <c r="X7" t="str">
        <f t="shared" si="4"/>
        <v/>
      </c>
      <c r="Y7" t="str">
        <f t="shared" si="5"/>
        <v/>
      </c>
      <c r="Z7" t="str">
        <f t="shared" si="6"/>
        <v/>
      </c>
    </row>
    <row r="8" spans="1:26">
      <c r="D8" t="str">
        <f>IF(C8&lt;&gt;"",VLOOKUP(C8,Tableau3[#All],2,0),"")</f>
        <v/>
      </c>
      <c r="F8" t="str">
        <f t="shared" si="0"/>
        <v/>
      </c>
      <c r="M8" t="str">
        <f>IF(G8&lt;&gt;"",VLOOKUP(G8,'Caractéristique navire de pêche'!$B:$E,3,0),"")</f>
        <v/>
      </c>
      <c r="N8" t="str">
        <f>IF(G8&lt;&gt;"",VLOOKUP(G8,'[1]caractéristiques Navire de pêch'!$B:$E,2,0),"")</f>
        <v/>
      </c>
      <c r="O8" t="str">
        <f>IF(G8&lt;&gt;"",_xlfn.LET(_xlpm.te_reel,VLOOKUP(G8,Tableau13[[#All],[Nom du Navire ]:[Tirant d''eau (m)]],4,0),_xlpm.longueur,VLOOKUP(G8,Tableau13[[#All],[Nom du Navire ]:[Tirant d''eau (m)]],2,0),_xlpm.largeur,VLOOKUP(G8,Tableau13[[#All],[Nom du Navire ]:[Tirant d''eau (m)]],3,0),_xlpm.te_theorique,0.14*SQRT(_xlpm.longueur*_xlpm.largeur),IF(_xlpm.te_reel&gt;=_xlpm.te_theorique,_xlpm.te_reel,ROUND(_xlpm.te_theorique,2))),"")</f>
        <v/>
      </c>
      <c r="P8" t="str">
        <f t="shared" si="1"/>
        <v/>
      </c>
      <c r="Q8" t="str">
        <f>IF(B8&lt;&gt;"",IF(B8="Entrée",0.366,0.228),"")</f>
        <v/>
      </c>
      <c r="R8" t="str">
        <f t="shared" si="2"/>
        <v/>
      </c>
      <c r="S8" t="str">
        <f t="shared" si="7"/>
        <v/>
      </c>
      <c r="T8" t="str" cm="1">
        <f t="array" ref="T8">IF(G8&lt;&gt;"",IF(COUNTIFS($G$2:G8,G8,$H$2:H8,"&gt;="&amp;DATE(YEAR(H8),1,1),$H$2:H8,"&lt;="&amp;DATE(YEAR(Q:QH8),12,31))&lt;=6,0,IF(COUNTIFS($G$2:G8,G8,$H$2:H8,"&gt;="&amp;DATE(YEAR(H8),1,1),$H$2:H8,"&lt;="&amp;DATE(YEAR(H8),12,31))&lt;=15,-0.1,IF(COUNTIFS($G$2:G8,G8,$H$2:H8,"&gt;="&amp;DATE(YEAR(H8),1,1),$H$2:H8,"&lt;="&amp;DATE(YEAR(H8),12,31))&lt;=30,-0.15,IF(COUNTIFS($G$2:G8,G8,$H$2:H8,"&gt;="&amp;DATE(YEAR(H8),1,1),$H$2:H8,"&lt;="&amp;DATE(YEAR(H8),12,31))&lt;=60,-0.2,IF(COUNTIFS($G$2:G8,G8,$H$2:H8,"&gt;="&amp;DATE(YEAR(H8),1,1),$H$2:H8,"&lt;="&amp;DATE(YEAR(H8),12,31))&lt;=120,-0.25,-0.3))))),"")</f>
        <v/>
      </c>
      <c r="U8" t="str">
        <f>IF(G8&lt;&gt;"",0,"")</f>
        <v/>
      </c>
      <c r="V8" t="str">
        <f>IF(AND(G8&lt;&gt;"",B8="Entrée"),65,"")</f>
        <v/>
      </c>
      <c r="W8" t="str">
        <f t="shared" si="3"/>
        <v/>
      </c>
      <c r="X8" t="str">
        <f t="shared" si="4"/>
        <v/>
      </c>
      <c r="Y8" t="str">
        <f t="shared" si="5"/>
        <v/>
      </c>
      <c r="Z8" t="str">
        <f t="shared" si="6"/>
        <v/>
      </c>
    </row>
    <row r="9" spans="1:26">
      <c r="D9" t="str">
        <f>IF(C9&lt;&gt;"",VLOOKUP(C9,Tableau3[#All],2,0),"")</f>
        <v/>
      </c>
      <c r="F9" t="str">
        <f t="shared" si="0"/>
        <v/>
      </c>
      <c r="M9" t="str">
        <f>IF(G9&lt;&gt;"",VLOOKUP(G9,'Caractéristique navire de pêche'!$B:$E,3,0),"")</f>
        <v/>
      </c>
      <c r="N9" t="str">
        <f>IF(G9&lt;&gt;"",VLOOKUP(G9,'[1]caractéristiques Navire de pêch'!$B:$E,2,0),"")</f>
        <v/>
      </c>
      <c r="O9" t="str">
        <f>IF(G9&lt;&gt;"",_xlfn.LET(_xlpm.te_reel,VLOOKUP(G9,Tableau13[[#All],[Nom du Navire ]:[Tirant d''eau (m)]],4,0),_xlpm.longueur,VLOOKUP(G9,Tableau13[[#All],[Nom du Navire ]:[Tirant d''eau (m)]],2,0),_xlpm.largeur,VLOOKUP(G9,Tableau13[[#All],[Nom du Navire ]:[Tirant d''eau (m)]],3,0),_xlpm.te_theorique,0.14*SQRT(_xlpm.longueur*_xlpm.largeur),IF(_xlpm.te_reel&gt;=_xlpm.te_theorique,_xlpm.te_reel,ROUND(_xlpm.te_theorique,2))),"")</f>
        <v/>
      </c>
      <c r="P9" t="str">
        <f t="shared" si="1"/>
        <v/>
      </c>
      <c r="Q9" t="str">
        <f>IF(B9&lt;&gt;"",IF(B9="Entrée",0.366,0.228),"")</f>
        <v/>
      </c>
      <c r="R9" t="str">
        <f t="shared" si="2"/>
        <v/>
      </c>
      <c r="S9" t="str">
        <f t="shared" si="7"/>
        <v/>
      </c>
      <c r="T9" t="str" cm="1">
        <f t="array" ref="T9">IF(G9&lt;&gt;"",IF(COUNTIFS($G$2:G9,G9,$H$2:H9,"&gt;="&amp;DATE(YEAR(H9),1,1),$H$2:H9,"&lt;="&amp;DATE(YEAR(Q:QH9),12,31))&lt;=6,0,IF(COUNTIFS($G$2:G9,G9,$H$2:H9,"&gt;="&amp;DATE(YEAR(H9),1,1),$H$2:H9,"&lt;="&amp;DATE(YEAR(H9),12,31))&lt;=15,-0.1,IF(COUNTIFS($G$2:G9,G9,$H$2:H9,"&gt;="&amp;DATE(YEAR(H9),1,1),$H$2:H9,"&lt;="&amp;DATE(YEAR(H9),12,31))&lt;=30,-0.15,IF(COUNTIFS($G$2:G9,G9,$H$2:H9,"&gt;="&amp;DATE(YEAR(H9),1,1),$H$2:H9,"&lt;="&amp;DATE(YEAR(H9),12,31))&lt;=60,-0.2,IF(COUNTIFS($G$2:G9,G9,$H$2:H9,"&gt;="&amp;DATE(YEAR(H9),1,1),$H$2:H9,"&lt;="&amp;DATE(YEAR(H9),12,31))&lt;=120,-0.25,-0.3))))),"")</f>
        <v/>
      </c>
      <c r="U9" t="str">
        <f>IF(G9&lt;&gt;"",0,"")</f>
        <v/>
      </c>
      <c r="V9" t="str">
        <f>IF(AND(G9&lt;&gt;"",B9="Entrée"),65,"")</f>
        <v/>
      </c>
      <c r="W9" t="str">
        <f t="shared" si="3"/>
        <v/>
      </c>
      <c r="X9" t="str">
        <f t="shared" si="4"/>
        <v/>
      </c>
      <c r="Y9" t="str">
        <f t="shared" si="5"/>
        <v/>
      </c>
      <c r="Z9" t="str">
        <f t="shared" si="6"/>
        <v/>
      </c>
    </row>
    <row r="10" spans="1:26">
      <c r="D10" t="str">
        <f>IF(C10&lt;&gt;"",VLOOKUP(C10,Tableau3[#All],2,0),"")</f>
        <v/>
      </c>
      <c r="F10" t="str">
        <f t="shared" si="0"/>
        <v/>
      </c>
      <c r="M10" t="str">
        <f>IF(G10&lt;&gt;"",VLOOKUP(G10,'Caractéristique navire de pêche'!$B:$E,3,0),"")</f>
        <v/>
      </c>
      <c r="N10" t="str">
        <f>IF(G10&lt;&gt;"",VLOOKUP(G10,'[1]caractéristiques Navire de pêch'!$B:$E,2,0),"")</f>
        <v/>
      </c>
      <c r="O10" t="str">
        <f>IF(G10&lt;&gt;"",_xlfn.LET(_xlpm.te_reel,VLOOKUP(G10,Tableau13[[#All],[Nom du Navire ]:[Tirant d''eau (m)]],4,0),_xlpm.longueur,VLOOKUP(G10,Tableau13[[#All],[Nom du Navire ]:[Tirant d''eau (m)]],2,0),_xlpm.largeur,VLOOKUP(G10,Tableau13[[#All],[Nom du Navire ]:[Tirant d''eau (m)]],3,0),_xlpm.te_theorique,0.14*SQRT(_xlpm.longueur*_xlpm.largeur),IF(_xlpm.te_reel&gt;=_xlpm.te_theorique,_xlpm.te_reel,ROUND(_xlpm.te_theorique,2))),"")</f>
        <v/>
      </c>
      <c r="P10" t="str">
        <f t="shared" si="1"/>
        <v/>
      </c>
      <c r="Q10" t="str">
        <f>IF(B10&lt;&gt;"",IF(B10="Entrée",0.366,0.228),"")</f>
        <v/>
      </c>
      <c r="R10" t="str">
        <f t="shared" si="2"/>
        <v/>
      </c>
      <c r="S10" t="str">
        <f t="shared" si="7"/>
        <v/>
      </c>
      <c r="T10" t="str" cm="1">
        <f t="array" ref="T10">IF(G10&lt;&gt;"",IF(COUNTIFS($G$2:G10,G10,$H$2:H10,"&gt;="&amp;DATE(YEAR(H10),1,1),$H$2:H10,"&lt;="&amp;DATE(YEAR(Q:QH10),12,31))&lt;=6,0,IF(COUNTIFS($G$2:G10,G10,$H$2:H10,"&gt;="&amp;DATE(YEAR(H10),1,1),$H$2:H10,"&lt;="&amp;DATE(YEAR(H10),12,31))&lt;=15,-0.1,IF(COUNTIFS($G$2:G10,G10,$H$2:H10,"&gt;="&amp;DATE(YEAR(H10),1,1),$H$2:H10,"&lt;="&amp;DATE(YEAR(H10),12,31))&lt;=30,-0.15,IF(COUNTIFS($G$2:G10,G10,$H$2:H10,"&gt;="&amp;DATE(YEAR(H10),1,1),$H$2:H10,"&lt;="&amp;DATE(YEAR(H10),12,31))&lt;=60,-0.2,IF(COUNTIFS($G$2:G10,G10,$H$2:H10,"&gt;="&amp;DATE(YEAR(H10),1,1),$H$2:H10,"&lt;="&amp;DATE(YEAR(H10),12,31))&lt;=120,-0.25,-0.3))))),"")</f>
        <v/>
      </c>
      <c r="U10" t="str">
        <f>IF(G10&lt;&gt;"",0,"")</f>
        <v/>
      </c>
      <c r="V10" t="str">
        <f>IF(AND(G10&lt;&gt;"",B10="Entrée"),65,"")</f>
        <v/>
      </c>
      <c r="W10" t="str">
        <f t="shared" si="3"/>
        <v/>
      </c>
      <c r="X10" t="str">
        <f t="shared" si="4"/>
        <v/>
      </c>
      <c r="Y10" t="str">
        <f t="shared" si="5"/>
        <v/>
      </c>
      <c r="Z10" t="str">
        <f t="shared" si="6"/>
        <v/>
      </c>
    </row>
    <row r="11" spans="1:26">
      <c r="D11" t="str">
        <f>IF(C11&lt;&gt;"",VLOOKUP(C11,Tableau3[#All],2,0),"")</f>
        <v/>
      </c>
      <c r="F11" t="str">
        <f t="shared" si="0"/>
        <v/>
      </c>
      <c r="M11" t="str">
        <f>IF(G11&lt;&gt;"",VLOOKUP(G11,'Caractéristique navire de pêche'!$B:$E,3,0),"")</f>
        <v/>
      </c>
      <c r="N11" t="str">
        <f>IF(G11&lt;&gt;"",VLOOKUP(G11,'[1]caractéristiques Navire de pêch'!$B:$E,2,0),"")</f>
        <v/>
      </c>
      <c r="O11" t="str">
        <f>IF(G11&lt;&gt;"",_xlfn.LET(_xlpm.te_reel,VLOOKUP(G11,Tableau13[[#All],[Nom du Navire ]:[Tirant d''eau (m)]],4,0),_xlpm.longueur,VLOOKUP(G11,Tableau13[[#All],[Nom du Navire ]:[Tirant d''eau (m)]],2,0),_xlpm.largeur,VLOOKUP(G11,Tableau13[[#All],[Nom du Navire ]:[Tirant d''eau (m)]],3,0),_xlpm.te_theorique,0.14*SQRT(_xlpm.longueur*_xlpm.largeur),IF(_xlpm.te_reel&gt;=_xlpm.te_theorique,_xlpm.te_reel,ROUND(_xlpm.te_theorique,2))),"")</f>
        <v/>
      </c>
      <c r="P11" t="str">
        <f t="shared" si="1"/>
        <v/>
      </c>
      <c r="Q11" t="str">
        <f>IF(B11&lt;&gt;"",IF(B11="Entrée",0.366,0.228),"")</f>
        <v/>
      </c>
      <c r="R11" t="str">
        <f t="shared" si="2"/>
        <v/>
      </c>
      <c r="S11" t="str">
        <f t="shared" si="7"/>
        <v/>
      </c>
      <c r="T11" t="str" cm="1">
        <f t="array" ref="T11">IF(G11&lt;&gt;"",IF(COUNTIFS($G$2:G11,G11,$H$2:H11,"&gt;="&amp;DATE(YEAR(H11),1,1),$H$2:H11,"&lt;="&amp;DATE(YEAR(Q:QH11),12,31))&lt;=6,0,IF(COUNTIFS($G$2:G11,G11,$H$2:H11,"&gt;="&amp;DATE(YEAR(H11),1,1),$H$2:H11,"&lt;="&amp;DATE(YEAR(H11),12,31))&lt;=15,-0.1,IF(COUNTIFS($G$2:G11,G11,$H$2:H11,"&gt;="&amp;DATE(YEAR(H11),1,1),$H$2:H11,"&lt;="&amp;DATE(YEAR(H11),12,31))&lt;=30,-0.15,IF(COUNTIFS($G$2:G11,G11,$H$2:H11,"&gt;="&amp;DATE(YEAR(H11),1,1),$H$2:H11,"&lt;="&amp;DATE(YEAR(H11),12,31))&lt;=60,-0.2,IF(COUNTIFS($G$2:G11,G11,$H$2:H11,"&gt;="&amp;DATE(YEAR(H11),1,1),$H$2:H11,"&lt;="&amp;DATE(YEAR(H11),12,31))&lt;=120,-0.25,-0.3))))),"")</f>
        <v/>
      </c>
      <c r="U11" t="str">
        <f>IF(G11&lt;&gt;"",0,"")</f>
        <v/>
      </c>
      <c r="V11" t="str">
        <f>IF(AND(G11&lt;&gt;"",B11="Entrée"),65,"")</f>
        <v/>
      </c>
      <c r="W11" t="str">
        <f t="shared" si="3"/>
        <v/>
      </c>
      <c r="X11" t="str">
        <f t="shared" si="4"/>
        <v/>
      </c>
      <c r="Y11" t="str">
        <f t="shared" si="5"/>
        <v/>
      </c>
      <c r="Z11" t="str">
        <f t="shared" si="6"/>
        <v/>
      </c>
    </row>
    <row r="12" spans="1:26">
      <c r="D12" t="str">
        <f>IF(C12&lt;&gt;"",VLOOKUP(C12,Tableau3[#All],2,0),"")</f>
        <v/>
      </c>
      <c r="F12" t="str">
        <f t="shared" si="0"/>
        <v/>
      </c>
      <c r="M12" t="str">
        <f>IF(G12&lt;&gt;"",VLOOKUP(G12,'Caractéristique navire de pêche'!$B:$E,3,0),"")</f>
        <v/>
      </c>
      <c r="N12" t="str">
        <f>IF(G12&lt;&gt;"",VLOOKUP(G12,'[1]caractéristiques Navire de pêch'!$B:$E,2,0),"")</f>
        <v/>
      </c>
      <c r="O12" t="str">
        <f>IF(G12&lt;&gt;"",_xlfn.LET(_xlpm.te_reel,VLOOKUP(G12,Tableau13[[#All],[Nom du Navire ]:[Tirant d''eau (m)]],4,0),_xlpm.longueur,VLOOKUP(G12,Tableau13[[#All],[Nom du Navire ]:[Tirant d''eau (m)]],2,0),_xlpm.largeur,VLOOKUP(G12,Tableau13[[#All],[Nom du Navire ]:[Tirant d''eau (m)]],3,0),_xlpm.te_theorique,0.14*SQRT(_xlpm.longueur*_xlpm.largeur),IF(_xlpm.te_reel&gt;=_xlpm.te_theorique,_xlpm.te_reel,ROUND(_xlpm.te_theorique,2))),"")</f>
        <v/>
      </c>
      <c r="P12" t="str">
        <f t="shared" si="1"/>
        <v/>
      </c>
      <c r="Q12" t="str">
        <f>IF(B12&lt;&gt;"",IF(B12="Entrée",0.366,0.228),"")</f>
        <v/>
      </c>
      <c r="R12" t="str">
        <f t="shared" si="2"/>
        <v/>
      </c>
      <c r="S12" t="str">
        <f t="shared" si="7"/>
        <v/>
      </c>
      <c r="T12" t="str" cm="1">
        <f t="array" ref="T12">IF(G12&lt;&gt;"",IF(COUNTIFS($G$2:G12,G12,$H$2:H12,"&gt;="&amp;DATE(YEAR(H12),1,1),$H$2:H12,"&lt;="&amp;DATE(YEAR(Q:QH12),12,31))&lt;=6,0,IF(COUNTIFS($G$2:G12,G12,$H$2:H12,"&gt;="&amp;DATE(YEAR(H12),1,1),$H$2:H12,"&lt;="&amp;DATE(YEAR(H12),12,31))&lt;=15,-0.1,IF(COUNTIFS($G$2:G12,G12,$H$2:H12,"&gt;="&amp;DATE(YEAR(H12),1,1),$H$2:H12,"&lt;="&amp;DATE(YEAR(H12),12,31))&lt;=30,-0.15,IF(COUNTIFS($G$2:G12,G12,$H$2:H12,"&gt;="&amp;DATE(YEAR(H12),1,1),$H$2:H12,"&lt;="&amp;DATE(YEAR(H12),12,31))&lt;=60,-0.2,IF(COUNTIFS($G$2:G12,G12,$H$2:H12,"&gt;="&amp;DATE(YEAR(H12),1,1),$H$2:H12,"&lt;="&amp;DATE(YEAR(H12),12,31))&lt;=120,-0.25,-0.3))))),"")</f>
        <v/>
      </c>
      <c r="U12" t="str">
        <f>IF(G12&lt;&gt;"",0,"")</f>
        <v/>
      </c>
      <c r="V12" t="str">
        <f>IF(AND(G12&lt;&gt;"",B12="Entrée"),65,"")</f>
        <v/>
      </c>
      <c r="W12" t="str">
        <f t="shared" si="3"/>
        <v/>
      </c>
      <c r="X12" t="str">
        <f t="shared" si="4"/>
        <v/>
      </c>
      <c r="Y12" t="str">
        <f t="shared" si="5"/>
        <v/>
      </c>
      <c r="Z12" t="str">
        <f t="shared" si="6"/>
        <v/>
      </c>
    </row>
    <row r="13" spans="1:26">
      <c r="D13" t="str">
        <f>IF(C13&lt;&gt;"",VLOOKUP(C13,Tableau3[#All],2,0),"")</f>
        <v/>
      </c>
      <c r="F13" t="str">
        <f t="shared" si="0"/>
        <v/>
      </c>
      <c r="M13" t="str">
        <f>IF(G13&lt;&gt;"",VLOOKUP(G13,'Caractéristique navire de pêche'!$B:$E,3,0),"")</f>
        <v/>
      </c>
      <c r="N13" t="str">
        <f>IF(G13&lt;&gt;"",VLOOKUP(G13,'[1]caractéristiques Navire de pêch'!$B:$E,2,0),"")</f>
        <v/>
      </c>
      <c r="O13" t="str">
        <f>IF(G13&lt;&gt;"",_xlfn.LET(_xlpm.te_reel,VLOOKUP(G13,Tableau13[[#All],[Nom du Navire ]:[Tirant d''eau (m)]],4,0),_xlpm.longueur,VLOOKUP(G13,Tableau13[[#All],[Nom du Navire ]:[Tirant d''eau (m)]],2,0),_xlpm.largeur,VLOOKUP(G13,Tableau13[[#All],[Nom du Navire ]:[Tirant d''eau (m)]],3,0),_xlpm.te_theorique,0.14*SQRT(_xlpm.longueur*_xlpm.largeur),IF(_xlpm.te_reel&gt;=_xlpm.te_theorique,_xlpm.te_reel,ROUND(_xlpm.te_theorique,2))),"")</f>
        <v/>
      </c>
      <c r="P13" t="str">
        <f t="shared" si="1"/>
        <v/>
      </c>
      <c r="Q13" t="str">
        <f>IF(B13&lt;&gt;"",IF(B13="Entrée",0.366,0.228),"")</f>
        <v/>
      </c>
      <c r="R13" t="str">
        <f t="shared" si="2"/>
        <v/>
      </c>
      <c r="S13" t="str">
        <f t="shared" si="7"/>
        <v/>
      </c>
      <c r="T13" t="str" cm="1">
        <f t="array" ref="T13">IF(G13&lt;&gt;"",IF(COUNTIFS($G$2:G13,G13,$H$2:H13,"&gt;="&amp;DATE(YEAR(H13),1,1),$H$2:H13,"&lt;="&amp;DATE(YEAR(Q:QH13),12,31))&lt;=6,0,IF(COUNTIFS($G$2:G13,G13,$H$2:H13,"&gt;="&amp;DATE(YEAR(H13),1,1),$H$2:H13,"&lt;="&amp;DATE(YEAR(H13),12,31))&lt;=15,-0.1,IF(COUNTIFS($G$2:G13,G13,$H$2:H13,"&gt;="&amp;DATE(YEAR(H13),1,1),$H$2:H13,"&lt;="&amp;DATE(YEAR(H13),12,31))&lt;=30,-0.15,IF(COUNTIFS($G$2:G13,G13,$H$2:H13,"&gt;="&amp;DATE(YEAR(H13),1,1),$H$2:H13,"&lt;="&amp;DATE(YEAR(H13),12,31))&lt;=60,-0.2,IF(COUNTIFS($G$2:G13,G13,$H$2:H13,"&gt;="&amp;DATE(YEAR(H13),1,1),$H$2:H13,"&lt;="&amp;DATE(YEAR(H13),12,31))&lt;=120,-0.25,-0.3))))),"")</f>
        <v/>
      </c>
      <c r="U13" t="str">
        <f>IF(G13&lt;&gt;"",0,"")</f>
        <v/>
      </c>
      <c r="V13" t="str">
        <f>IF(AND(G13&lt;&gt;"",B13="Entrée"),65,"")</f>
        <v/>
      </c>
      <c r="W13" t="str">
        <f t="shared" si="3"/>
        <v/>
      </c>
      <c r="X13" t="str">
        <f t="shared" si="4"/>
        <v/>
      </c>
      <c r="Y13" t="str">
        <f t="shared" si="5"/>
        <v/>
      </c>
      <c r="Z13" t="str">
        <f t="shared" si="6"/>
        <v/>
      </c>
    </row>
    <row r="14" spans="1:26">
      <c r="D14" t="str">
        <f>IF(C14&lt;&gt;"",VLOOKUP(C14,Tableau3[#All],2,0),"")</f>
        <v/>
      </c>
      <c r="F14" t="str">
        <f t="shared" si="0"/>
        <v/>
      </c>
      <c r="M14" t="str">
        <f>IF(G14&lt;&gt;"",VLOOKUP(G14,'Caractéristique navire de pêche'!$B:$E,3,0),"")</f>
        <v/>
      </c>
      <c r="N14" t="str">
        <f>IF(G14&lt;&gt;"",VLOOKUP(G14,'[1]caractéristiques Navire de pêch'!$B:$E,2,0),"")</f>
        <v/>
      </c>
      <c r="O14" t="str">
        <f>IF(G14&lt;&gt;"",_xlfn.LET(_xlpm.te_reel,VLOOKUP(G14,Tableau13[[#All],[Nom du Navire ]:[Tirant d''eau (m)]],4,0),_xlpm.longueur,VLOOKUP(G14,Tableau13[[#All],[Nom du Navire ]:[Tirant d''eau (m)]],2,0),_xlpm.largeur,VLOOKUP(G14,Tableau13[[#All],[Nom du Navire ]:[Tirant d''eau (m)]],3,0),_xlpm.te_theorique,0.14*SQRT(_xlpm.longueur*_xlpm.largeur),IF(_xlpm.te_reel&gt;=_xlpm.te_theorique,_xlpm.te_reel,ROUND(_xlpm.te_theorique,2))),"")</f>
        <v/>
      </c>
      <c r="P14" t="str">
        <f t="shared" si="1"/>
        <v/>
      </c>
      <c r="Q14" t="str">
        <f>IF(B14&lt;&gt;"",IF(B14="Entrée",0.366,0.228),"")</f>
        <v/>
      </c>
      <c r="R14" t="str">
        <f t="shared" si="2"/>
        <v/>
      </c>
      <c r="S14" t="str">
        <f t="shared" si="7"/>
        <v/>
      </c>
      <c r="T14" t="str" cm="1">
        <f t="array" ref="T14">IF(G14&lt;&gt;"",IF(COUNTIFS($G$2:G14,G14,$H$2:H14,"&gt;="&amp;DATE(YEAR(H14),1,1),$H$2:H14,"&lt;="&amp;DATE(YEAR(Q:QH14),12,31))&lt;=6,0,IF(COUNTIFS($G$2:G14,G14,$H$2:H14,"&gt;="&amp;DATE(YEAR(H14),1,1),$H$2:H14,"&lt;="&amp;DATE(YEAR(H14),12,31))&lt;=15,-0.1,IF(COUNTIFS($G$2:G14,G14,$H$2:H14,"&gt;="&amp;DATE(YEAR(H14),1,1),$H$2:H14,"&lt;="&amp;DATE(YEAR(H14),12,31))&lt;=30,-0.15,IF(COUNTIFS($G$2:G14,G14,$H$2:H14,"&gt;="&amp;DATE(YEAR(H14),1,1),$H$2:H14,"&lt;="&amp;DATE(YEAR(H14),12,31))&lt;=60,-0.2,IF(COUNTIFS($G$2:G14,G14,$H$2:H14,"&gt;="&amp;DATE(YEAR(H14),1,1),$H$2:H14,"&lt;="&amp;DATE(YEAR(H14),12,31))&lt;=120,-0.25,-0.3))))),"")</f>
        <v/>
      </c>
      <c r="U14" t="str">
        <f>IF(G14&lt;&gt;"",0,"")</f>
        <v/>
      </c>
      <c r="V14" t="str">
        <f>IF(AND(G14&lt;&gt;"",B14="Entrée"),65,"")</f>
        <v/>
      </c>
      <c r="W14" t="str">
        <f t="shared" si="3"/>
        <v/>
      </c>
      <c r="X14" t="str">
        <f t="shared" si="4"/>
        <v/>
      </c>
      <c r="Y14" t="str">
        <f t="shared" si="5"/>
        <v/>
      </c>
      <c r="Z14" t="str">
        <f t="shared" si="6"/>
        <v/>
      </c>
    </row>
    <row r="15" spans="1:26">
      <c r="D15" t="str">
        <f>IF(C15&lt;&gt;"",VLOOKUP(C15,Tableau3[#All],2,0),"")</f>
        <v/>
      </c>
      <c r="F15" t="str">
        <f t="shared" si="0"/>
        <v/>
      </c>
      <c r="M15" t="str">
        <f>IF(G15&lt;&gt;"",VLOOKUP(G15,'Caractéristique navire de pêche'!$B:$E,3,0),"")</f>
        <v/>
      </c>
      <c r="N15" t="str">
        <f>IF(G15&lt;&gt;"",VLOOKUP(G15,'[1]caractéristiques Navire de pêch'!$B:$E,2,0),"")</f>
        <v/>
      </c>
      <c r="O15" t="str">
        <f>IF(G15&lt;&gt;"",_xlfn.LET(_xlpm.te_reel,VLOOKUP(G15,Tableau13[[#All],[Nom du Navire ]:[Tirant d''eau (m)]],4,0),_xlpm.longueur,VLOOKUP(G15,Tableau13[[#All],[Nom du Navire ]:[Tirant d''eau (m)]],2,0),_xlpm.largeur,VLOOKUP(G15,Tableau13[[#All],[Nom du Navire ]:[Tirant d''eau (m)]],3,0),_xlpm.te_theorique,0.14*SQRT(_xlpm.longueur*_xlpm.largeur),IF(_xlpm.te_reel&gt;=_xlpm.te_theorique,_xlpm.te_reel,ROUND(_xlpm.te_theorique,2))),"")</f>
        <v/>
      </c>
      <c r="P15" t="str">
        <f t="shared" si="1"/>
        <v/>
      </c>
      <c r="Q15" t="str">
        <f>IF(B15&lt;&gt;"",IF(B15="Entrée",0.366,0.228),"")</f>
        <v/>
      </c>
      <c r="R15" t="str">
        <f t="shared" si="2"/>
        <v/>
      </c>
      <c r="S15" t="str">
        <f t="shared" si="7"/>
        <v/>
      </c>
      <c r="T15" t="str" cm="1">
        <f t="array" ref="T15">IF(G15&lt;&gt;"",IF(COUNTIFS($G$2:G15,G15,$H$2:H15,"&gt;="&amp;DATE(YEAR(H15),1,1),$H$2:H15,"&lt;="&amp;DATE(YEAR(Q:QH15),12,31))&lt;=6,0,IF(COUNTIFS($G$2:G15,G15,$H$2:H15,"&gt;="&amp;DATE(YEAR(H15),1,1),$H$2:H15,"&lt;="&amp;DATE(YEAR(H15),12,31))&lt;=15,-0.1,IF(COUNTIFS($G$2:G15,G15,$H$2:H15,"&gt;="&amp;DATE(YEAR(H15),1,1),$H$2:H15,"&lt;="&amp;DATE(YEAR(H15),12,31))&lt;=30,-0.15,IF(COUNTIFS($G$2:G15,G15,$H$2:H15,"&gt;="&amp;DATE(YEAR(H15),1,1),$H$2:H15,"&lt;="&amp;DATE(YEAR(H15),12,31))&lt;=60,-0.2,IF(COUNTIFS($G$2:G15,G15,$H$2:H15,"&gt;="&amp;DATE(YEAR(H15),1,1),$H$2:H15,"&lt;="&amp;DATE(YEAR(H15),12,31))&lt;=120,-0.25,-0.3))))),"")</f>
        <v/>
      </c>
      <c r="U15" t="str">
        <f>IF(G15&lt;&gt;"",0,"")</f>
        <v/>
      </c>
      <c r="V15" t="str">
        <f>IF(AND(G15&lt;&gt;"",B15="Entrée"),65,"")</f>
        <v/>
      </c>
      <c r="W15" t="str">
        <f t="shared" si="3"/>
        <v/>
      </c>
      <c r="X15" t="str">
        <f t="shared" si="4"/>
        <v/>
      </c>
      <c r="Y15" t="str">
        <f t="shared" si="5"/>
        <v/>
      </c>
      <c r="Z15" t="str">
        <f t="shared" si="6"/>
        <v/>
      </c>
    </row>
    <row r="16" spans="1:26">
      <c r="D16" t="str">
        <f>IF(C16&lt;&gt;"",VLOOKUP(C16,Tableau3[#All],2,0),"")</f>
        <v/>
      </c>
      <c r="F16" t="str">
        <f t="shared" si="0"/>
        <v/>
      </c>
      <c r="M16" t="str">
        <f>IF(G16&lt;&gt;"",VLOOKUP(G16,'Caractéristique navire de pêche'!$B:$E,3,0),"")</f>
        <v/>
      </c>
      <c r="N16" t="str">
        <f>IF(G16&lt;&gt;"",VLOOKUP(G16,'[1]caractéristiques Navire de pêch'!$B:$E,2,0),"")</f>
        <v/>
      </c>
      <c r="O16" t="str">
        <f>IF(G16&lt;&gt;"",_xlfn.LET(_xlpm.te_reel,VLOOKUP(G16,Tableau13[[#All],[Nom du Navire ]:[Tirant d''eau (m)]],4,0),_xlpm.longueur,VLOOKUP(G16,Tableau13[[#All],[Nom du Navire ]:[Tirant d''eau (m)]],2,0),_xlpm.largeur,VLOOKUP(G16,Tableau13[[#All],[Nom du Navire ]:[Tirant d''eau (m)]],3,0),_xlpm.te_theorique,0.14*SQRT(_xlpm.longueur*_xlpm.largeur),IF(_xlpm.te_reel&gt;=_xlpm.te_theorique,_xlpm.te_reel,ROUND(_xlpm.te_theorique,2))),"")</f>
        <v/>
      </c>
      <c r="P16" t="str">
        <f t="shared" si="1"/>
        <v/>
      </c>
      <c r="Q16" t="str">
        <f>IF(B16&lt;&gt;"",IF(B16="Entrée",0.366,0.228),"")</f>
        <v/>
      </c>
      <c r="R16" t="str">
        <f t="shared" si="2"/>
        <v/>
      </c>
      <c r="S16" t="str">
        <f t="shared" si="7"/>
        <v/>
      </c>
      <c r="T16" t="str" cm="1">
        <f t="array" ref="T16">IF(G16&lt;&gt;"",IF(COUNTIFS($G$2:G16,G16,$H$2:H16,"&gt;="&amp;DATE(YEAR(H16),1,1),$H$2:H16,"&lt;="&amp;DATE(YEAR(Q:QH16),12,31))&lt;=6,0,IF(COUNTIFS($G$2:G16,G16,$H$2:H16,"&gt;="&amp;DATE(YEAR(H16),1,1),$H$2:H16,"&lt;="&amp;DATE(YEAR(H16),12,31))&lt;=15,-0.1,IF(COUNTIFS($G$2:G16,G16,$H$2:H16,"&gt;="&amp;DATE(YEAR(H16),1,1),$H$2:H16,"&lt;="&amp;DATE(YEAR(H16),12,31))&lt;=30,-0.15,IF(COUNTIFS($G$2:G16,G16,$H$2:H16,"&gt;="&amp;DATE(YEAR(H16),1,1),$H$2:H16,"&lt;="&amp;DATE(YEAR(H16),12,31))&lt;=60,-0.2,IF(COUNTIFS($G$2:G16,G16,$H$2:H16,"&gt;="&amp;DATE(YEAR(H16),1,1),$H$2:H16,"&lt;="&amp;DATE(YEAR(H16),12,31))&lt;=120,-0.25,-0.3))))),"")</f>
        <v/>
      </c>
      <c r="U16" t="str">
        <f>IF(G16&lt;&gt;"",0,"")</f>
        <v/>
      </c>
      <c r="V16" t="str">
        <f>IF(AND(G16&lt;&gt;"",B16="Entrée"),65,"")</f>
        <v/>
      </c>
      <c r="W16" t="str">
        <f t="shared" si="3"/>
        <v/>
      </c>
      <c r="X16" t="str">
        <f t="shared" si="4"/>
        <v/>
      </c>
      <c r="Y16" t="str">
        <f t="shared" si="5"/>
        <v/>
      </c>
      <c r="Z16" t="str">
        <f t="shared" si="6"/>
        <v/>
      </c>
    </row>
    <row r="17" spans="4:26">
      <c r="D17" t="str">
        <f>IF(C17&lt;&gt;"",VLOOKUP(C17,Tableau3[#All],2,0),"")</f>
        <v/>
      </c>
      <c r="F17" t="str">
        <f t="shared" si="0"/>
        <v/>
      </c>
      <c r="M17" t="str">
        <f>IF(G17&lt;&gt;"",VLOOKUP(G17,'Caractéristique navire de pêche'!$B:$E,3,0),"")</f>
        <v/>
      </c>
      <c r="N17" t="str">
        <f>IF(G17&lt;&gt;"",VLOOKUP(G17,'[1]caractéristiques Navire de pêch'!$B:$E,2,0),"")</f>
        <v/>
      </c>
      <c r="O17" t="str">
        <f>IF(G17&lt;&gt;"",_xlfn.LET(_xlpm.te_reel,VLOOKUP(G17,Tableau13[[#All],[Nom du Navire ]:[Tirant d''eau (m)]],4,0),_xlpm.longueur,VLOOKUP(G17,Tableau13[[#All],[Nom du Navire ]:[Tirant d''eau (m)]],2,0),_xlpm.largeur,VLOOKUP(G17,Tableau13[[#All],[Nom du Navire ]:[Tirant d''eau (m)]],3,0),_xlpm.te_theorique,0.14*SQRT(_xlpm.longueur*_xlpm.largeur),IF(_xlpm.te_reel&gt;=_xlpm.te_theorique,_xlpm.te_reel,ROUND(_xlpm.te_theorique,2))),"")</f>
        <v/>
      </c>
      <c r="P17" t="str">
        <f t="shared" si="1"/>
        <v/>
      </c>
      <c r="Q17" t="str">
        <f>IF(B17&lt;&gt;"",IF(B17="Entrée",0.366,0.228),"")</f>
        <v/>
      </c>
      <c r="R17" t="str">
        <f t="shared" si="2"/>
        <v/>
      </c>
      <c r="S17" t="str">
        <f t="shared" si="7"/>
        <v/>
      </c>
      <c r="T17" t="str" cm="1">
        <f t="array" ref="T17">IF(G17&lt;&gt;"",IF(COUNTIFS($G$2:G17,G17,$H$2:H17,"&gt;="&amp;DATE(YEAR(H17),1,1),$H$2:H17,"&lt;="&amp;DATE(YEAR(Q:QH17),12,31))&lt;=6,0,IF(COUNTIFS($G$2:G17,G17,$H$2:H17,"&gt;="&amp;DATE(YEAR(H17),1,1),$H$2:H17,"&lt;="&amp;DATE(YEAR(H17),12,31))&lt;=15,-0.1,IF(COUNTIFS($G$2:G17,G17,$H$2:H17,"&gt;="&amp;DATE(YEAR(H17),1,1),$H$2:H17,"&lt;="&amp;DATE(YEAR(H17),12,31))&lt;=30,-0.15,IF(COUNTIFS($G$2:G17,G17,$H$2:H17,"&gt;="&amp;DATE(YEAR(H17),1,1),$H$2:H17,"&lt;="&amp;DATE(YEAR(H17),12,31))&lt;=60,-0.2,IF(COUNTIFS($G$2:G17,G17,$H$2:H17,"&gt;="&amp;DATE(YEAR(H17),1,1),$H$2:H17,"&lt;="&amp;DATE(YEAR(H17),12,31))&lt;=120,-0.25,-0.3))))),"")</f>
        <v/>
      </c>
      <c r="U17" t="str">
        <f>IF(G17&lt;&gt;"",0,"")</f>
        <v/>
      </c>
      <c r="V17" t="str">
        <f>IF(AND(G17&lt;&gt;"",B17="Entrée"),65,"")</f>
        <v/>
      </c>
      <c r="W17" t="str">
        <f t="shared" si="3"/>
        <v/>
      </c>
      <c r="X17" t="str">
        <f t="shared" si="4"/>
        <v/>
      </c>
      <c r="Y17" t="str">
        <f t="shared" si="5"/>
        <v/>
      </c>
      <c r="Z17" t="str">
        <f t="shared" si="6"/>
        <v/>
      </c>
    </row>
    <row r="18" spans="4:26">
      <c r="D18" t="str">
        <f>IF(C18&lt;&gt;"",VLOOKUP(C18,Tableau3[#All],2,0),"")</f>
        <v/>
      </c>
      <c r="F18" t="str">
        <f t="shared" si="0"/>
        <v/>
      </c>
      <c r="M18" t="str">
        <f>IF(G18&lt;&gt;"",VLOOKUP(G18,'Caractéristique navire de pêche'!$B:$E,3,0),"")</f>
        <v/>
      </c>
      <c r="N18" t="str">
        <f>IF(G18&lt;&gt;"",VLOOKUP(G18,'[1]caractéristiques Navire de pêch'!$B:$E,2,0),"")</f>
        <v/>
      </c>
      <c r="O18" t="str">
        <f>IF(G18&lt;&gt;"",_xlfn.LET(_xlpm.te_reel,VLOOKUP(G18,Tableau13[[#All],[Nom du Navire ]:[Tirant d''eau (m)]],4,0),_xlpm.longueur,VLOOKUP(G18,Tableau13[[#All],[Nom du Navire ]:[Tirant d''eau (m)]],2,0),_xlpm.largeur,VLOOKUP(G18,Tableau13[[#All],[Nom du Navire ]:[Tirant d''eau (m)]],3,0),_xlpm.te_theorique,0.14*SQRT(_xlpm.longueur*_xlpm.largeur),IF(_xlpm.te_reel&gt;=_xlpm.te_theorique,_xlpm.te_reel,ROUND(_xlpm.te_theorique,2))),"")</f>
        <v/>
      </c>
      <c r="P18" t="str">
        <f t="shared" si="1"/>
        <v/>
      </c>
      <c r="Q18" t="str">
        <f>IF(B18&lt;&gt;"",IF(B18="Entrée",0.366,0.228),"")</f>
        <v/>
      </c>
      <c r="R18" t="str">
        <f t="shared" si="2"/>
        <v/>
      </c>
      <c r="S18" t="str">
        <f t="shared" si="7"/>
        <v/>
      </c>
      <c r="T18" t="str" cm="1">
        <f t="array" ref="T18">IF(G18&lt;&gt;"",IF(COUNTIFS($G$2:G18,G18,$H$2:H18,"&gt;="&amp;DATE(YEAR(H18),1,1),$H$2:H18,"&lt;="&amp;DATE(YEAR(Q:QH18),12,31))&lt;=6,0,IF(COUNTIFS($G$2:G18,G18,$H$2:H18,"&gt;="&amp;DATE(YEAR(H18),1,1),$H$2:H18,"&lt;="&amp;DATE(YEAR(H18),12,31))&lt;=15,-0.1,IF(COUNTIFS($G$2:G18,G18,$H$2:H18,"&gt;="&amp;DATE(YEAR(H18),1,1),$H$2:H18,"&lt;="&amp;DATE(YEAR(H18),12,31))&lt;=30,-0.15,IF(COUNTIFS($G$2:G18,G18,$H$2:H18,"&gt;="&amp;DATE(YEAR(H18),1,1),$H$2:H18,"&lt;="&amp;DATE(YEAR(H18),12,31))&lt;=60,-0.2,IF(COUNTIFS($G$2:G18,G18,$H$2:H18,"&gt;="&amp;DATE(YEAR(H18),1,1),$H$2:H18,"&lt;="&amp;DATE(YEAR(H18),12,31))&lt;=120,-0.25,-0.3))))),"")</f>
        <v/>
      </c>
      <c r="U18" t="str">
        <f>IF(G18&lt;&gt;"",0,"")</f>
        <v/>
      </c>
      <c r="V18" t="str">
        <f>IF(AND(G18&lt;&gt;"",B18="Entrée"),65,"")</f>
        <v/>
      </c>
      <c r="W18" t="str">
        <f t="shared" si="3"/>
        <v/>
      </c>
      <c r="X18" t="str">
        <f t="shared" si="4"/>
        <v/>
      </c>
      <c r="Y18" t="str">
        <f t="shared" si="5"/>
        <v/>
      </c>
      <c r="Z18" t="str">
        <f t="shared" si="6"/>
        <v/>
      </c>
    </row>
    <row r="19" spans="4:26">
      <c r="D19" t="str">
        <f>IF(C19&lt;&gt;"",VLOOKUP(C19,Tableau3[#All],2,0),"")</f>
        <v/>
      </c>
      <c r="F19" t="str">
        <f t="shared" si="0"/>
        <v/>
      </c>
      <c r="M19" t="str">
        <f>IF(G19&lt;&gt;"",VLOOKUP(G19,'Caractéristique navire de pêche'!$B:$E,3,0),"")</f>
        <v/>
      </c>
      <c r="N19" t="str">
        <f>IF(G19&lt;&gt;"",VLOOKUP(G19,'[1]caractéristiques Navire de pêch'!$B:$E,2,0),"")</f>
        <v/>
      </c>
      <c r="O19" t="str">
        <f>IF(G19&lt;&gt;"",_xlfn.LET(_xlpm.te_reel,VLOOKUP(G19,Tableau13[[#All],[Nom du Navire ]:[Tirant d''eau (m)]],4,0),_xlpm.longueur,VLOOKUP(G19,Tableau13[[#All],[Nom du Navire ]:[Tirant d''eau (m)]],2,0),_xlpm.largeur,VLOOKUP(G19,Tableau13[[#All],[Nom du Navire ]:[Tirant d''eau (m)]],3,0),_xlpm.te_theorique,0.14*SQRT(_xlpm.longueur*_xlpm.largeur),IF(_xlpm.te_reel&gt;=_xlpm.te_theorique,_xlpm.te_reel,ROUND(_xlpm.te_theorique,2))),"")</f>
        <v/>
      </c>
      <c r="P19" t="str">
        <f t="shared" si="1"/>
        <v/>
      </c>
      <c r="Q19" t="str">
        <f>IF(B19&lt;&gt;"",IF(B19="Entrée",0.366,0.228),"")</f>
        <v/>
      </c>
      <c r="R19" t="str">
        <f t="shared" si="2"/>
        <v/>
      </c>
      <c r="S19" t="str">
        <f t="shared" si="7"/>
        <v/>
      </c>
      <c r="T19" t="str" cm="1">
        <f t="array" ref="T19">IF(G19&lt;&gt;"",IF(COUNTIFS($G$2:G19,G19,$H$2:H19,"&gt;="&amp;DATE(YEAR(H19),1,1),$H$2:H19,"&lt;="&amp;DATE(YEAR(Q:QH19),12,31))&lt;=6,0,IF(COUNTIFS($G$2:G19,G19,$H$2:H19,"&gt;="&amp;DATE(YEAR(H19),1,1),$H$2:H19,"&lt;="&amp;DATE(YEAR(H19),12,31))&lt;=15,-0.1,IF(COUNTIFS($G$2:G19,G19,$H$2:H19,"&gt;="&amp;DATE(YEAR(H19),1,1),$H$2:H19,"&lt;="&amp;DATE(YEAR(H19),12,31))&lt;=30,-0.15,IF(COUNTIFS($G$2:G19,G19,$H$2:H19,"&gt;="&amp;DATE(YEAR(H19),1,1),$H$2:H19,"&lt;="&amp;DATE(YEAR(H19),12,31))&lt;=60,-0.2,IF(COUNTIFS($G$2:G19,G19,$H$2:H19,"&gt;="&amp;DATE(YEAR(H19),1,1),$H$2:H19,"&lt;="&amp;DATE(YEAR(H19),12,31))&lt;=120,-0.25,-0.3))))),"")</f>
        <v/>
      </c>
      <c r="U19" t="str">
        <f>IF(G19&lt;&gt;"",0,"")</f>
        <v/>
      </c>
      <c r="V19" t="str">
        <f>IF(AND(G19&lt;&gt;"",B19="Entrée"),65,"")</f>
        <v/>
      </c>
      <c r="W19" t="str">
        <f t="shared" si="3"/>
        <v/>
      </c>
      <c r="X19" t="str">
        <f t="shared" si="4"/>
        <v/>
      </c>
      <c r="Y19" t="str">
        <f t="shared" si="5"/>
        <v/>
      </c>
      <c r="Z19" t="str">
        <f t="shared" si="6"/>
        <v/>
      </c>
    </row>
    <row r="20" spans="4:26">
      <c r="D20" t="str">
        <f>IF(C20&lt;&gt;"",VLOOKUP(C20,Tableau3[#All],2,0),"")</f>
        <v/>
      </c>
      <c r="F20" t="str">
        <f t="shared" si="0"/>
        <v/>
      </c>
      <c r="M20" t="str">
        <f>IF(G20&lt;&gt;"",VLOOKUP(G20,'Caractéristique navire de pêche'!$B:$E,3,0),"")</f>
        <v/>
      </c>
      <c r="N20" t="str">
        <f>IF(G20&lt;&gt;"",VLOOKUP(G20,'[1]caractéristiques Navire de pêch'!$B:$E,2,0),"")</f>
        <v/>
      </c>
      <c r="O20" t="str">
        <f>IF(G20&lt;&gt;"",_xlfn.LET(_xlpm.te_reel,VLOOKUP(G20,Tableau13[[#All],[Nom du Navire ]:[Tirant d''eau (m)]],4,0),_xlpm.longueur,VLOOKUP(G20,Tableau13[[#All],[Nom du Navire ]:[Tirant d''eau (m)]],2,0),_xlpm.largeur,VLOOKUP(G20,Tableau13[[#All],[Nom du Navire ]:[Tirant d''eau (m)]],3,0),_xlpm.te_theorique,0.14*SQRT(_xlpm.longueur*_xlpm.largeur),IF(_xlpm.te_reel&gt;=_xlpm.te_theorique,_xlpm.te_reel,ROUND(_xlpm.te_theorique,2))),"")</f>
        <v/>
      </c>
      <c r="P20" t="str">
        <f t="shared" si="1"/>
        <v/>
      </c>
      <c r="Q20" t="str">
        <f>IF(B20&lt;&gt;"",IF(B20="Entrée",0.366,0.228),"")</f>
        <v/>
      </c>
      <c r="R20" t="str">
        <f t="shared" si="2"/>
        <v/>
      </c>
      <c r="S20" t="str">
        <f t="shared" si="7"/>
        <v/>
      </c>
      <c r="T20" t="str" cm="1">
        <f t="array" ref="T20">IF(G20&lt;&gt;"",IF(COUNTIFS($G$2:G20,G20,$H$2:H20,"&gt;="&amp;DATE(YEAR(H20),1,1),$H$2:H20,"&lt;="&amp;DATE(YEAR(Q:QH20),12,31))&lt;=6,0,IF(COUNTIFS($G$2:G20,G20,$H$2:H20,"&gt;="&amp;DATE(YEAR(H20),1,1),$H$2:H20,"&lt;="&amp;DATE(YEAR(H20),12,31))&lt;=15,-0.1,IF(COUNTIFS($G$2:G20,G20,$H$2:H20,"&gt;="&amp;DATE(YEAR(H20),1,1),$H$2:H20,"&lt;="&amp;DATE(YEAR(H20),12,31))&lt;=30,-0.15,IF(COUNTIFS($G$2:G20,G20,$H$2:H20,"&gt;="&amp;DATE(YEAR(H20),1,1),$H$2:H20,"&lt;="&amp;DATE(YEAR(H20),12,31))&lt;=60,-0.2,IF(COUNTIFS($G$2:G20,G20,$H$2:H20,"&gt;="&amp;DATE(YEAR(H20),1,1),$H$2:H20,"&lt;="&amp;DATE(YEAR(H20),12,31))&lt;=120,-0.25,-0.3))))),"")</f>
        <v/>
      </c>
      <c r="U20" t="str">
        <f>IF(G20&lt;&gt;"",0,"")</f>
        <v/>
      </c>
      <c r="V20" t="str">
        <f>IF(AND(G20&lt;&gt;"",B20="Entrée"),65,"")</f>
        <v/>
      </c>
      <c r="W20" t="str">
        <f t="shared" si="3"/>
        <v/>
      </c>
      <c r="X20" t="str">
        <f t="shared" si="4"/>
        <v/>
      </c>
      <c r="Y20" t="str">
        <f t="shared" si="5"/>
        <v/>
      </c>
      <c r="Z20" t="str">
        <f t="shared" si="6"/>
        <v/>
      </c>
    </row>
    <row r="21" spans="4:26">
      <c r="D21" t="str">
        <f>IF(C21&lt;&gt;"",VLOOKUP(C21,Tableau3[#All],2,0),"")</f>
        <v/>
      </c>
      <c r="F21" t="str">
        <f t="shared" si="0"/>
        <v/>
      </c>
      <c r="M21" t="str">
        <f>IF(G21&lt;&gt;"",VLOOKUP(G21,'Caractéristique navire de pêche'!$B:$E,3,0),"")</f>
        <v/>
      </c>
      <c r="N21" t="str">
        <f>IF(G21&lt;&gt;"",VLOOKUP(G21,'[1]caractéristiques Navire de pêch'!$B:$E,2,0),"")</f>
        <v/>
      </c>
      <c r="O21" t="str">
        <f>IF(G21&lt;&gt;"",_xlfn.LET(_xlpm.te_reel,VLOOKUP(G21,Tableau13[[#All],[Nom du Navire ]:[Tirant d''eau (m)]],4,0),_xlpm.longueur,VLOOKUP(G21,Tableau13[[#All],[Nom du Navire ]:[Tirant d''eau (m)]],2,0),_xlpm.largeur,VLOOKUP(G21,Tableau13[[#All],[Nom du Navire ]:[Tirant d''eau (m)]],3,0),_xlpm.te_theorique,0.14*SQRT(_xlpm.longueur*_xlpm.largeur),IF(_xlpm.te_reel&gt;=_xlpm.te_theorique,_xlpm.te_reel,ROUND(_xlpm.te_theorique,2))),"")</f>
        <v/>
      </c>
      <c r="P21" t="str">
        <f t="shared" si="1"/>
        <v/>
      </c>
      <c r="Q21" t="str">
        <f>IF(B21&lt;&gt;"",IF(B21="Entrée",0.366,0.228),"")</f>
        <v/>
      </c>
      <c r="R21" t="str">
        <f t="shared" si="2"/>
        <v/>
      </c>
      <c r="S21" t="str">
        <f t="shared" si="7"/>
        <v/>
      </c>
      <c r="T21" t="str" cm="1">
        <f t="array" ref="T21">IF(G21&lt;&gt;"",IF(COUNTIFS($G$2:G21,G21,$H$2:H21,"&gt;="&amp;DATE(YEAR(H21),1,1),$H$2:H21,"&lt;="&amp;DATE(YEAR(Q:QH21),12,31))&lt;=6,0,IF(COUNTIFS($G$2:G21,G21,$H$2:H21,"&gt;="&amp;DATE(YEAR(H21),1,1),$H$2:H21,"&lt;="&amp;DATE(YEAR(H21),12,31))&lt;=15,-0.1,IF(COUNTIFS($G$2:G21,G21,$H$2:H21,"&gt;="&amp;DATE(YEAR(H21),1,1),$H$2:H21,"&lt;="&amp;DATE(YEAR(H21),12,31))&lt;=30,-0.15,IF(COUNTIFS($G$2:G21,G21,$H$2:H21,"&gt;="&amp;DATE(YEAR(H21),1,1),$H$2:H21,"&lt;="&amp;DATE(YEAR(H21),12,31))&lt;=60,-0.2,IF(COUNTIFS($G$2:G21,G21,$H$2:H21,"&gt;="&amp;DATE(YEAR(H21),1,1),$H$2:H21,"&lt;="&amp;DATE(YEAR(H21),12,31))&lt;=120,-0.25,-0.3))))),"")</f>
        <v/>
      </c>
      <c r="U21" t="str">
        <f>IF(G21&lt;&gt;"",0,"")</f>
        <v/>
      </c>
      <c r="V21" t="str">
        <f>IF(AND(G21&lt;&gt;"",B21="Entrée"),65,"")</f>
        <v/>
      </c>
      <c r="W21" t="str">
        <f t="shared" si="3"/>
        <v/>
      </c>
      <c r="X21" t="str">
        <f t="shared" si="4"/>
        <v/>
      </c>
      <c r="Y21" t="str">
        <f t="shared" si="5"/>
        <v/>
      </c>
      <c r="Z21" t="str">
        <f t="shared" si="6"/>
        <v/>
      </c>
    </row>
    <row r="22" spans="4:26">
      <c r="D22" t="str">
        <f>IF(C22&lt;&gt;"",VLOOKUP(C22,Tableau3[#All],2,0),"")</f>
        <v/>
      </c>
      <c r="F22" t="str">
        <f t="shared" si="0"/>
        <v/>
      </c>
      <c r="M22" t="str">
        <f>IF(G22&lt;&gt;"",VLOOKUP(G22,'Caractéristique navire de pêche'!$B:$E,3,0),"")</f>
        <v/>
      </c>
      <c r="N22" t="str">
        <f>IF(G22&lt;&gt;"",VLOOKUP(G22,'[1]caractéristiques Navire de pêch'!$B:$E,2,0),"")</f>
        <v/>
      </c>
      <c r="O22" t="str">
        <f>IF(G22&lt;&gt;"",_xlfn.LET(_xlpm.te_reel,VLOOKUP(G22,Tableau13[[#All],[Nom du Navire ]:[Tirant d''eau (m)]],4,0),_xlpm.longueur,VLOOKUP(G22,Tableau13[[#All],[Nom du Navire ]:[Tirant d''eau (m)]],2,0),_xlpm.largeur,VLOOKUP(G22,Tableau13[[#All],[Nom du Navire ]:[Tirant d''eau (m)]],3,0),_xlpm.te_theorique,0.14*SQRT(_xlpm.longueur*_xlpm.largeur),IF(_xlpm.te_reel&gt;=_xlpm.te_theorique,_xlpm.te_reel,ROUND(_xlpm.te_theorique,2))),"")</f>
        <v/>
      </c>
      <c r="P22" t="str">
        <f t="shared" si="1"/>
        <v/>
      </c>
      <c r="Q22" t="str">
        <f>IF(B22&lt;&gt;"",IF(B22="Entrée",0.366,0.228),"")</f>
        <v/>
      </c>
      <c r="R22" t="str">
        <f t="shared" si="2"/>
        <v/>
      </c>
      <c r="S22" t="str">
        <f t="shared" si="7"/>
        <v/>
      </c>
      <c r="T22" t="str" cm="1">
        <f t="array" ref="T22">IF(G22&lt;&gt;"",IF(COUNTIFS($G$2:G22,G22,$H$2:H22,"&gt;="&amp;DATE(YEAR(H22),1,1),$H$2:H22,"&lt;="&amp;DATE(YEAR(Q:QH22),12,31))&lt;=6,0,IF(COUNTIFS($G$2:G22,G22,$H$2:H22,"&gt;="&amp;DATE(YEAR(H22),1,1),$H$2:H22,"&lt;="&amp;DATE(YEAR(H22),12,31))&lt;=15,-0.1,IF(COUNTIFS($G$2:G22,G22,$H$2:H22,"&gt;="&amp;DATE(YEAR(H22),1,1),$H$2:H22,"&lt;="&amp;DATE(YEAR(H22),12,31))&lt;=30,-0.15,IF(COUNTIFS($G$2:G22,G22,$H$2:H22,"&gt;="&amp;DATE(YEAR(H22),1,1),$H$2:H22,"&lt;="&amp;DATE(YEAR(H22),12,31))&lt;=60,-0.2,IF(COUNTIFS($G$2:G22,G22,$H$2:H22,"&gt;="&amp;DATE(YEAR(H22),1,1),$H$2:H22,"&lt;="&amp;DATE(YEAR(H22),12,31))&lt;=120,-0.25,-0.3))))),"")</f>
        <v/>
      </c>
      <c r="U22" t="str">
        <f>IF(G22&lt;&gt;"",0,"")</f>
        <v/>
      </c>
      <c r="V22" t="str">
        <f>IF(AND(G22&lt;&gt;"",B22="Entrée"),65,"")</f>
        <v/>
      </c>
      <c r="W22" t="str">
        <f t="shared" si="3"/>
        <v/>
      </c>
      <c r="X22" t="str">
        <f t="shared" si="4"/>
        <v/>
      </c>
      <c r="Y22" t="str">
        <f t="shared" si="5"/>
        <v/>
      </c>
      <c r="Z22" t="str">
        <f t="shared" si="6"/>
        <v/>
      </c>
    </row>
    <row r="23" spans="4:26">
      <c r="D23" t="str">
        <f>IF(C23&lt;&gt;"",VLOOKUP(C23,Tableau3[#All],2,0),"")</f>
        <v/>
      </c>
      <c r="F23" t="str">
        <f t="shared" si="0"/>
        <v/>
      </c>
      <c r="M23" t="str">
        <f>IF(G23&lt;&gt;"",VLOOKUP(G23,'Caractéristique navire de pêche'!$B:$E,3,0),"")</f>
        <v/>
      </c>
      <c r="N23" t="str">
        <f>IF(G23&lt;&gt;"",VLOOKUP(G23,'[1]caractéristiques Navire de pêch'!$B:$E,2,0),"")</f>
        <v/>
      </c>
      <c r="O23" t="str">
        <f>IF(G23&lt;&gt;"",_xlfn.LET(_xlpm.te_reel,VLOOKUP(G23,Tableau13[[#All],[Nom du Navire ]:[Tirant d''eau (m)]],4,0),_xlpm.longueur,VLOOKUP(G23,Tableau13[[#All],[Nom du Navire ]:[Tirant d''eau (m)]],2,0),_xlpm.largeur,VLOOKUP(G23,Tableau13[[#All],[Nom du Navire ]:[Tirant d''eau (m)]],3,0),_xlpm.te_theorique,0.14*SQRT(_xlpm.longueur*_xlpm.largeur),IF(_xlpm.te_reel&gt;=_xlpm.te_theorique,_xlpm.te_reel,ROUND(_xlpm.te_theorique,2))),"")</f>
        <v/>
      </c>
      <c r="P23" t="str">
        <f t="shared" si="1"/>
        <v/>
      </c>
      <c r="Q23" t="str">
        <f>IF(B23&lt;&gt;"",IF(B23="Entrée",0.366,0.228),"")</f>
        <v/>
      </c>
      <c r="R23" t="str">
        <f t="shared" si="2"/>
        <v/>
      </c>
      <c r="S23" t="str">
        <f t="shared" si="7"/>
        <v/>
      </c>
      <c r="T23" t="str" cm="1">
        <f t="array" ref="T23">IF(G23&lt;&gt;"",IF(COUNTIFS($G$2:G23,G23,$H$2:H23,"&gt;="&amp;DATE(YEAR(H23),1,1),$H$2:H23,"&lt;="&amp;DATE(YEAR(Q:QH23),12,31))&lt;=6,0,IF(COUNTIFS($G$2:G23,G23,$H$2:H23,"&gt;="&amp;DATE(YEAR(H23),1,1),$H$2:H23,"&lt;="&amp;DATE(YEAR(H23),12,31))&lt;=15,-0.1,IF(COUNTIFS($G$2:G23,G23,$H$2:H23,"&gt;="&amp;DATE(YEAR(H23),1,1),$H$2:H23,"&lt;="&amp;DATE(YEAR(H23),12,31))&lt;=30,-0.15,IF(COUNTIFS($G$2:G23,G23,$H$2:H23,"&gt;="&amp;DATE(YEAR(H23),1,1),$H$2:H23,"&lt;="&amp;DATE(YEAR(H23),12,31))&lt;=60,-0.2,IF(COUNTIFS($G$2:G23,G23,$H$2:H23,"&gt;="&amp;DATE(YEAR(H23),1,1),$H$2:H23,"&lt;="&amp;DATE(YEAR(H23),12,31))&lt;=120,-0.25,-0.3))))),"")</f>
        <v/>
      </c>
      <c r="U23" t="str">
        <f>IF(G23&lt;&gt;"",0,"")</f>
        <v/>
      </c>
      <c r="V23" t="str">
        <f>IF(AND(G23&lt;&gt;"",B23="Entrée"),65,"")</f>
        <v/>
      </c>
      <c r="W23" t="str">
        <f t="shared" si="3"/>
        <v/>
      </c>
      <c r="X23" t="str">
        <f t="shared" si="4"/>
        <v/>
      </c>
      <c r="Y23" t="str">
        <f t="shared" si="5"/>
        <v/>
      </c>
      <c r="Z23" t="str">
        <f t="shared" si="6"/>
        <v/>
      </c>
    </row>
    <row r="24" spans="4:26">
      <c r="D24" t="str">
        <f>IF(C24&lt;&gt;"",VLOOKUP(C24,Tableau3[#All],2,0),"")</f>
        <v/>
      </c>
      <c r="F24" t="str">
        <f t="shared" si="0"/>
        <v/>
      </c>
      <c r="M24" t="str">
        <f>IF(G24&lt;&gt;"",VLOOKUP(G24,'Caractéristique navire de pêche'!$B:$E,3,0),"")</f>
        <v/>
      </c>
      <c r="N24" t="str">
        <f>IF(G24&lt;&gt;"",VLOOKUP(G24,'[1]caractéristiques Navire de pêch'!$B:$E,2,0),"")</f>
        <v/>
      </c>
      <c r="O24" t="str">
        <f>IF(G24&lt;&gt;"",_xlfn.LET(_xlpm.te_reel,VLOOKUP(G24,Tableau13[[#All],[Nom du Navire ]:[Tirant d''eau (m)]],4,0),_xlpm.longueur,VLOOKUP(G24,Tableau13[[#All],[Nom du Navire ]:[Tirant d''eau (m)]],2,0),_xlpm.largeur,VLOOKUP(G24,Tableau13[[#All],[Nom du Navire ]:[Tirant d''eau (m)]],3,0),_xlpm.te_theorique,0.14*SQRT(_xlpm.longueur*_xlpm.largeur),IF(_xlpm.te_reel&gt;=_xlpm.te_theorique,_xlpm.te_reel,ROUND(_xlpm.te_theorique,2))),"")</f>
        <v/>
      </c>
      <c r="P24" t="str">
        <f t="shared" si="1"/>
        <v/>
      </c>
      <c r="Q24" t="str">
        <f>IF(B24&lt;&gt;"",IF(B24="Entrée",0.366,0.228),"")</f>
        <v/>
      </c>
      <c r="R24" t="str">
        <f t="shared" si="2"/>
        <v/>
      </c>
      <c r="S24" t="str">
        <f t="shared" si="7"/>
        <v/>
      </c>
      <c r="T24" t="str" cm="1">
        <f t="array" ref="T24">IF(G24&lt;&gt;"",IF(COUNTIFS($G$2:G24,G24,$H$2:H24,"&gt;="&amp;DATE(YEAR(H24),1,1),$H$2:H24,"&lt;="&amp;DATE(YEAR(Q:QH24),12,31))&lt;=6,0,IF(COUNTIFS($G$2:G24,G24,$H$2:H24,"&gt;="&amp;DATE(YEAR(H24),1,1),$H$2:H24,"&lt;="&amp;DATE(YEAR(H24),12,31))&lt;=15,-0.1,IF(COUNTIFS($G$2:G24,G24,$H$2:H24,"&gt;="&amp;DATE(YEAR(H24),1,1),$H$2:H24,"&lt;="&amp;DATE(YEAR(H24),12,31))&lt;=30,-0.15,IF(COUNTIFS($G$2:G24,G24,$H$2:H24,"&gt;="&amp;DATE(YEAR(H24),1,1),$H$2:H24,"&lt;="&amp;DATE(YEAR(H24),12,31))&lt;=60,-0.2,IF(COUNTIFS($G$2:G24,G24,$H$2:H24,"&gt;="&amp;DATE(YEAR(H24),1,1),$H$2:H24,"&lt;="&amp;DATE(YEAR(H24),12,31))&lt;=120,-0.25,-0.3))))),"")</f>
        <v/>
      </c>
      <c r="U24" t="str">
        <f>IF(G24&lt;&gt;"",0,"")</f>
        <v/>
      </c>
      <c r="V24" t="str">
        <f>IF(AND(G24&lt;&gt;"",B24="Entrée"),65,"")</f>
        <v/>
      </c>
      <c r="W24" t="str">
        <f t="shared" si="3"/>
        <v/>
      </c>
      <c r="X24" t="str">
        <f t="shared" si="4"/>
        <v/>
      </c>
      <c r="Y24" t="str">
        <f t="shared" si="5"/>
        <v/>
      </c>
      <c r="Z24" t="str">
        <f t="shared" si="6"/>
        <v/>
      </c>
    </row>
    <row r="25" spans="4:26">
      <c r="D25" t="str">
        <f>IF(C25&lt;&gt;"",VLOOKUP(C25,Tableau3[#All],2,0),"")</f>
        <v/>
      </c>
      <c r="F25" t="str">
        <f t="shared" si="0"/>
        <v/>
      </c>
      <c r="M25" t="str">
        <f>IF(G25&lt;&gt;"",VLOOKUP(G25,'Caractéristique navire de pêche'!$B:$E,3,0),"")</f>
        <v/>
      </c>
      <c r="N25" t="str">
        <f>IF(G25&lt;&gt;"",VLOOKUP(G25,'[1]caractéristiques Navire de pêch'!$B:$E,2,0),"")</f>
        <v/>
      </c>
      <c r="O25" t="str">
        <f>IF(G25&lt;&gt;"",_xlfn.LET(_xlpm.te_reel,VLOOKUP(G25,Tableau13[[#All],[Nom du Navire ]:[Tirant d''eau (m)]],4,0),_xlpm.longueur,VLOOKUP(G25,Tableau13[[#All],[Nom du Navire ]:[Tirant d''eau (m)]],2,0),_xlpm.largeur,VLOOKUP(G25,Tableau13[[#All],[Nom du Navire ]:[Tirant d''eau (m)]],3,0),_xlpm.te_theorique,0.14*SQRT(_xlpm.longueur*_xlpm.largeur),IF(_xlpm.te_reel&gt;=_xlpm.te_theorique,_xlpm.te_reel,ROUND(_xlpm.te_theorique,2))),"")</f>
        <v/>
      </c>
      <c r="P25" t="str">
        <f t="shared" si="1"/>
        <v/>
      </c>
      <c r="Q25" t="str">
        <f>IF(B25&lt;&gt;"",IF(B25="Entrée",0.366,0.228),"")</f>
        <v/>
      </c>
      <c r="R25" t="str">
        <f t="shared" si="2"/>
        <v/>
      </c>
      <c r="S25" t="str">
        <f t="shared" si="7"/>
        <v/>
      </c>
      <c r="T25" t="str" cm="1">
        <f t="array" ref="T25">IF(G25&lt;&gt;"",IF(COUNTIFS($G$2:G25,G25,$H$2:H25,"&gt;="&amp;DATE(YEAR(H25),1,1),$H$2:H25,"&lt;="&amp;DATE(YEAR(Q:QH25),12,31))&lt;=6,0,IF(COUNTIFS($G$2:G25,G25,$H$2:H25,"&gt;="&amp;DATE(YEAR(H25),1,1),$H$2:H25,"&lt;="&amp;DATE(YEAR(H25),12,31))&lt;=15,-0.1,IF(COUNTIFS($G$2:G25,G25,$H$2:H25,"&gt;="&amp;DATE(YEAR(H25),1,1),$H$2:H25,"&lt;="&amp;DATE(YEAR(H25),12,31))&lt;=30,-0.15,IF(COUNTIFS($G$2:G25,G25,$H$2:H25,"&gt;="&amp;DATE(YEAR(H25),1,1),$H$2:H25,"&lt;="&amp;DATE(YEAR(H25),12,31))&lt;=60,-0.2,IF(COUNTIFS($G$2:G25,G25,$H$2:H25,"&gt;="&amp;DATE(YEAR(H25),1,1),$H$2:H25,"&lt;="&amp;DATE(YEAR(H25),12,31))&lt;=120,-0.25,-0.3))))),"")</f>
        <v/>
      </c>
      <c r="U25" t="str">
        <f>IF(G25&lt;&gt;"",0,"")</f>
        <v/>
      </c>
      <c r="V25" t="str">
        <f>IF(AND(G25&lt;&gt;"",B25="Entrée"),65,"")</f>
        <v/>
      </c>
      <c r="W25" t="str">
        <f t="shared" si="3"/>
        <v/>
      </c>
      <c r="X25" t="str">
        <f t="shared" si="4"/>
        <v/>
      </c>
      <c r="Y25" t="str">
        <f t="shared" si="5"/>
        <v/>
      </c>
      <c r="Z25" t="str">
        <f t="shared" si="6"/>
        <v/>
      </c>
    </row>
    <row r="26" spans="4:26">
      <c r="D26" t="str">
        <f>IF(C26&lt;&gt;"",VLOOKUP(C26,Tableau3[#All],2,0),"")</f>
        <v/>
      </c>
      <c r="F26" t="str">
        <f t="shared" si="0"/>
        <v/>
      </c>
      <c r="M26" t="str">
        <f>IF(G26&lt;&gt;"",VLOOKUP(G26,'Caractéristique navire de pêche'!$B:$E,3,0),"")</f>
        <v/>
      </c>
      <c r="N26" t="str">
        <f>IF(G26&lt;&gt;"",VLOOKUP(G26,'[1]caractéristiques Navire de pêch'!$B:$E,2,0),"")</f>
        <v/>
      </c>
      <c r="O26" t="str">
        <f>IF(G26&lt;&gt;"",_xlfn.LET(_xlpm.te_reel,VLOOKUP(G26,Tableau13[[#All],[Nom du Navire ]:[Tirant d''eau (m)]],4,0),_xlpm.longueur,VLOOKUP(G26,Tableau13[[#All],[Nom du Navire ]:[Tirant d''eau (m)]],2,0),_xlpm.largeur,VLOOKUP(G26,Tableau13[[#All],[Nom du Navire ]:[Tirant d''eau (m)]],3,0),_xlpm.te_theorique,0.14*SQRT(_xlpm.longueur*_xlpm.largeur),IF(_xlpm.te_reel&gt;=_xlpm.te_theorique,_xlpm.te_reel,ROUND(_xlpm.te_theorique,2))),"")</f>
        <v/>
      </c>
      <c r="P26" t="str">
        <f t="shared" si="1"/>
        <v/>
      </c>
      <c r="Q26" t="str">
        <f>IF(B26&lt;&gt;"",IF(B26="Entrée",0.366,0.228),"")</f>
        <v/>
      </c>
      <c r="R26" t="str">
        <f t="shared" si="2"/>
        <v/>
      </c>
      <c r="S26" t="str">
        <f t="shared" si="7"/>
        <v/>
      </c>
      <c r="T26" t="str" cm="1">
        <f t="array" ref="T26">IF(G26&lt;&gt;"",IF(COUNTIFS($G$2:G26,G26,$H$2:H26,"&gt;="&amp;DATE(YEAR(H26),1,1),$H$2:H26,"&lt;="&amp;DATE(YEAR(Q:QH26),12,31))&lt;=6,0,IF(COUNTIFS($G$2:G26,G26,$H$2:H26,"&gt;="&amp;DATE(YEAR(H26),1,1),$H$2:H26,"&lt;="&amp;DATE(YEAR(H26),12,31))&lt;=15,-0.1,IF(COUNTIFS($G$2:G26,G26,$H$2:H26,"&gt;="&amp;DATE(YEAR(H26),1,1),$H$2:H26,"&lt;="&amp;DATE(YEAR(H26),12,31))&lt;=30,-0.15,IF(COUNTIFS($G$2:G26,G26,$H$2:H26,"&gt;="&amp;DATE(YEAR(H26),1,1),$H$2:H26,"&lt;="&amp;DATE(YEAR(H26),12,31))&lt;=60,-0.2,IF(COUNTIFS($G$2:G26,G26,$H$2:H26,"&gt;="&amp;DATE(YEAR(H26),1,1),$H$2:H26,"&lt;="&amp;DATE(YEAR(H26),12,31))&lt;=120,-0.25,-0.3))))),"")</f>
        <v/>
      </c>
      <c r="U26" t="str">
        <f>IF(G26&lt;&gt;"",0,"")</f>
        <v/>
      </c>
      <c r="V26" t="str">
        <f>IF(AND(G26&lt;&gt;"",B26="Entrée"),65,"")</f>
        <v/>
      </c>
      <c r="W26" t="str">
        <f t="shared" si="3"/>
        <v/>
      </c>
      <c r="X26" t="str">
        <f t="shared" si="4"/>
        <v/>
      </c>
      <c r="Y26" t="str">
        <f t="shared" si="5"/>
        <v/>
      </c>
      <c r="Z26" t="str">
        <f t="shared" si="6"/>
        <v/>
      </c>
    </row>
    <row r="27" spans="4:26">
      <c r="D27" t="str">
        <f>IF(C27&lt;&gt;"",VLOOKUP(C27,Tableau3[#All],2,0),"")</f>
        <v/>
      </c>
      <c r="F27" t="str">
        <f t="shared" si="0"/>
        <v/>
      </c>
      <c r="M27" t="str">
        <f>IF(G27&lt;&gt;"",VLOOKUP(G27,'Caractéristique navire de pêche'!$B:$E,3,0),"")</f>
        <v/>
      </c>
      <c r="N27" t="str">
        <f>IF(G27&lt;&gt;"",VLOOKUP(G27,'[1]caractéristiques Navire de pêch'!$B:$E,2,0),"")</f>
        <v/>
      </c>
      <c r="O27" t="str">
        <f>IF(G27&lt;&gt;"",_xlfn.LET(_xlpm.te_reel,VLOOKUP(G27,Tableau13[[#All],[Nom du Navire ]:[Tirant d''eau (m)]],4,0),_xlpm.longueur,VLOOKUP(G27,Tableau13[[#All],[Nom du Navire ]:[Tirant d''eau (m)]],2,0),_xlpm.largeur,VLOOKUP(G27,Tableau13[[#All],[Nom du Navire ]:[Tirant d''eau (m)]],3,0),_xlpm.te_theorique,0.14*SQRT(_xlpm.longueur*_xlpm.largeur),IF(_xlpm.te_reel&gt;=_xlpm.te_theorique,_xlpm.te_reel,ROUND(_xlpm.te_theorique,2))),"")</f>
        <v/>
      </c>
      <c r="P27" t="str">
        <f t="shared" si="1"/>
        <v/>
      </c>
      <c r="Q27" t="str">
        <f>IF(B27&lt;&gt;"",IF(B27="Entrée",0.366,0.228),"")</f>
        <v/>
      </c>
      <c r="R27" t="str">
        <f t="shared" si="2"/>
        <v/>
      </c>
      <c r="S27" t="str">
        <f t="shared" si="7"/>
        <v/>
      </c>
      <c r="T27" t="str" cm="1">
        <f t="array" ref="T27">IF(G27&lt;&gt;"",IF(COUNTIFS($G$2:G27,G27,$H$2:H27,"&gt;="&amp;DATE(YEAR(H27),1,1),$H$2:H27,"&lt;="&amp;DATE(YEAR(Q:QH27),12,31))&lt;=6,0,IF(COUNTIFS($G$2:G27,G27,$H$2:H27,"&gt;="&amp;DATE(YEAR(H27),1,1),$H$2:H27,"&lt;="&amp;DATE(YEAR(H27),12,31))&lt;=15,-0.1,IF(COUNTIFS($G$2:G27,G27,$H$2:H27,"&gt;="&amp;DATE(YEAR(H27),1,1),$H$2:H27,"&lt;="&amp;DATE(YEAR(H27),12,31))&lt;=30,-0.15,IF(COUNTIFS($G$2:G27,G27,$H$2:H27,"&gt;="&amp;DATE(YEAR(H27),1,1),$H$2:H27,"&lt;="&amp;DATE(YEAR(H27),12,31))&lt;=60,-0.2,IF(COUNTIFS($G$2:G27,G27,$H$2:H27,"&gt;="&amp;DATE(YEAR(H27),1,1),$H$2:H27,"&lt;="&amp;DATE(YEAR(H27),12,31))&lt;=120,-0.25,-0.3))))),"")</f>
        <v/>
      </c>
      <c r="U27" t="str">
        <f>IF(G27&lt;&gt;"",0,"")</f>
        <v/>
      </c>
      <c r="V27" t="str">
        <f>IF(AND(G27&lt;&gt;"",B27="Entrée"),65,"")</f>
        <v/>
      </c>
      <c r="W27" t="str">
        <f t="shared" si="3"/>
        <v/>
      </c>
      <c r="X27" t="str">
        <f t="shared" si="4"/>
        <v/>
      </c>
      <c r="Y27" t="str">
        <f t="shared" si="5"/>
        <v/>
      </c>
      <c r="Z27" t="str">
        <f t="shared" si="6"/>
        <v/>
      </c>
    </row>
    <row r="28" spans="4:26">
      <c r="D28" t="str">
        <f>IF(C28&lt;&gt;"",VLOOKUP(C28,Tableau3[#All],2,0),"")</f>
        <v/>
      </c>
      <c r="F28" t="str">
        <f t="shared" si="0"/>
        <v/>
      </c>
      <c r="M28" t="str">
        <f>IF(G28&lt;&gt;"",VLOOKUP(G28,'Caractéristique navire de pêche'!$B:$E,3,0),"")</f>
        <v/>
      </c>
      <c r="N28" t="str">
        <f>IF(G28&lt;&gt;"",VLOOKUP(G28,'[1]caractéristiques Navire de pêch'!$B:$E,2,0),"")</f>
        <v/>
      </c>
      <c r="O28" t="str">
        <f>IF(G28&lt;&gt;"",_xlfn.LET(_xlpm.te_reel,VLOOKUP(G28,Tableau13[[#All],[Nom du Navire ]:[Tirant d''eau (m)]],4,0),_xlpm.longueur,VLOOKUP(G28,Tableau13[[#All],[Nom du Navire ]:[Tirant d''eau (m)]],2,0),_xlpm.largeur,VLOOKUP(G28,Tableau13[[#All],[Nom du Navire ]:[Tirant d''eau (m)]],3,0),_xlpm.te_theorique,0.14*SQRT(_xlpm.longueur*_xlpm.largeur),IF(_xlpm.te_reel&gt;=_xlpm.te_theorique,_xlpm.te_reel,ROUND(_xlpm.te_theorique,2))),"")</f>
        <v/>
      </c>
      <c r="P28" t="str">
        <f t="shared" si="1"/>
        <v/>
      </c>
      <c r="Q28" t="str">
        <f>IF(B28&lt;&gt;"",IF(B28="Entrée",0.366,0.228),"")</f>
        <v/>
      </c>
      <c r="R28" t="str">
        <f t="shared" si="2"/>
        <v/>
      </c>
      <c r="S28" t="str">
        <f t="shared" si="7"/>
        <v/>
      </c>
      <c r="T28" t="str" cm="1">
        <f t="array" ref="T28">IF(G28&lt;&gt;"",IF(COUNTIFS($G$2:G28,G28,$H$2:H28,"&gt;="&amp;DATE(YEAR(H28),1,1),$H$2:H28,"&lt;="&amp;DATE(YEAR(Q:QH28),12,31))&lt;=6,0,IF(COUNTIFS($G$2:G28,G28,$H$2:H28,"&gt;="&amp;DATE(YEAR(H28),1,1),$H$2:H28,"&lt;="&amp;DATE(YEAR(H28),12,31))&lt;=15,-0.1,IF(COUNTIFS($G$2:G28,G28,$H$2:H28,"&gt;="&amp;DATE(YEAR(H28),1,1),$H$2:H28,"&lt;="&amp;DATE(YEAR(H28),12,31))&lt;=30,-0.15,IF(COUNTIFS($G$2:G28,G28,$H$2:H28,"&gt;="&amp;DATE(YEAR(H28),1,1),$H$2:H28,"&lt;="&amp;DATE(YEAR(H28),12,31))&lt;=60,-0.2,IF(COUNTIFS($G$2:G28,G28,$H$2:H28,"&gt;="&amp;DATE(YEAR(H28),1,1),$H$2:H28,"&lt;="&amp;DATE(YEAR(H28),12,31))&lt;=120,-0.25,-0.3))))),"")</f>
        <v/>
      </c>
      <c r="U28" t="str">
        <f>IF(G28&lt;&gt;"",0,"")</f>
        <v/>
      </c>
      <c r="V28" t="str">
        <f>IF(AND(G28&lt;&gt;"",B28="Entrée"),65,"")</f>
        <v/>
      </c>
      <c r="W28" t="str">
        <f t="shared" si="3"/>
        <v/>
      </c>
      <c r="X28" t="str">
        <f t="shared" si="4"/>
        <v/>
      </c>
      <c r="Y28" t="str">
        <f t="shared" si="5"/>
        <v/>
      </c>
      <c r="Z28" t="str">
        <f t="shared" si="6"/>
        <v/>
      </c>
    </row>
    <row r="29" spans="4:26">
      <c r="D29" t="str">
        <f>IF(C29&lt;&gt;"",VLOOKUP(C29,Tableau3[#All],2,0),"")</f>
        <v/>
      </c>
      <c r="F29" t="str">
        <f t="shared" si="0"/>
        <v/>
      </c>
      <c r="M29" t="str">
        <f>IF(G29&lt;&gt;"",VLOOKUP(G29,'Caractéristique navire de pêche'!$B:$E,3,0),"")</f>
        <v/>
      </c>
      <c r="N29" t="str">
        <f>IF(G29&lt;&gt;"",VLOOKUP(G29,'[1]caractéristiques Navire de pêch'!$B:$E,2,0),"")</f>
        <v/>
      </c>
      <c r="O29" t="str">
        <f>IF(G29&lt;&gt;"",_xlfn.LET(_xlpm.te_reel,VLOOKUP(G29,Tableau13[[#All],[Nom du Navire ]:[Tirant d''eau (m)]],4,0),_xlpm.longueur,VLOOKUP(G29,Tableau13[[#All],[Nom du Navire ]:[Tirant d''eau (m)]],2,0),_xlpm.largeur,VLOOKUP(G29,Tableau13[[#All],[Nom du Navire ]:[Tirant d''eau (m)]],3,0),_xlpm.te_theorique,0.14*SQRT(_xlpm.longueur*_xlpm.largeur),IF(_xlpm.te_reel&gt;=_xlpm.te_theorique,_xlpm.te_reel,ROUND(_xlpm.te_theorique,2))),"")</f>
        <v/>
      </c>
      <c r="P29" t="str">
        <f t="shared" si="1"/>
        <v/>
      </c>
      <c r="Q29" t="str">
        <f>IF(B29&lt;&gt;"",IF(B29="Entrée",0.366,0.228),"")</f>
        <v/>
      </c>
      <c r="R29" t="str">
        <f t="shared" si="2"/>
        <v/>
      </c>
      <c r="S29" t="str">
        <f t="shared" si="7"/>
        <v/>
      </c>
      <c r="T29" t="str" cm="1">
        <f t="array" ref="T29">IF(G29&lt;&gt;"",IF(COUNTIFS($G$2:G29,G29,$H$2:H29,"&gt;="&amp;DATE(YEAR(H29),1,1),$H$2:H29,"&lt;="&amp;DATE(YEAR(Q:QH29),12,31))&lt;=6,0,IF(COUNTIFS($G$2:G29,G29,$H$2:H29,"&gt;="&amp;DATE(YEAR(H29),1,1),$H$2:H29,"&lt;="&amp;DATE(YEAR(H29),12,31))&lt;=15,-0.1,IF(COUNTIFS($G$2:G29,G29,$H$2:H29,"&gt;="&amp;DATE(YEAR(H29),1,1),$H$2:H29,"&lt;="&amp;DATE(YEAR(H29),12,31))&lt;=30,-0.15,IF(COUNTIFS($G$2:G29,G29,$H$2:H29,"&gt;="&amp;DATE(YEAR(H29),1,1),$H$2:H29,"&lt;="&amp;DATE(YEAR(H29),12,31))&lt;=60,-0.2,IF(COUNTIFS($G$2:G29,G29,$H$2:H29,"&gt;="&amp;DATE(YEAR(H29),1,1),$H$2:H29,"&lt;="&amp;DATE(YEAR(H29),12,31))&lt;=120,-0.25,-0.3))))),"")</f>
        <v/>
      </c>
      <c r="U29" t="str">
        <f>IF(G29&lt;&gt;"",0,"")</f>
        <v/>
      </c>
      <c r="V29" t="str">
        <f>IF(AND(G29&lt;&gt;"",B29="Entrée"),65,"")</f>
        <v/>
      </c>
      <c r="W29" t="str">
        <f t="shared" si="3"/>
        <v/>
      </c>
      <c r="X29" t="str">
        <f t="shared" si="4"/>
        <v/>
      </c>
      <c r="Y29" t="str">
        <f t="shared" si="5"/>
        <v/>
      </c>
      <c r="Z29" t="str">
        <f t="shared" si="6"/>
        <v/>
      </c>
    </row>
    <row r="30" spans="4:26">
      <c r="D30" t="str">
        <f>IF(C30&lt;&gt;"",VLOOKUP(C30,Tableau3[#All],2,0),"")</f>
        <v/>
      </c>
      <c r="F30" t="str">
        <f t="shared" si="0"/>
        <v/>
      </c>
      <c r="M30" t="str">
        <f>IF(G30&lt;&gt;"",VLOOKUP(G30,'Caractéristique navire de pêche'!$B:$E,3,0),"")</f>
        <v/>
      </c>
      <c r="N30" t="str">
        <f>IF(G30&lt;&gt;"",VLOOKUP(G30,'[1]caractéristiques Navire de pêch'!$B:$E,2,0),"")</f>
        <v/>
      </c>
      <c r="O30" t="str">
        <f>IF(G30&lt;&gt;"",_xlfn.LET(_xlpm.te_reel,VLOOKUP(G30,Tableau13[[#All],[Nom du Navire ]:[Tirant d''eau (m)]],4,0),_xlpm.longueur,VLOOKUP(G30,Tableau13[[#All],[Nom du Navire ]:[Tirant d''eau (m)]],2,0),_xlpm.largeur,VLOOKUP(G30,Tableau13[[#All],[Nom du Navire ]:[Tirant d''eau (m)]],3,0),_xlpm.te_theorique,0.14*SQRT(_xlpm.longueur*_xlpm.largeur),IF(_xlpm.te_reel&gt;=_xlpm.te_theorique,_xlpm.te_reel,ROUND(_xlpm.te_theorique,2))),"")</f>
        <v/>
      </c>
      <c r="P30" t="str">
        <f t="shared" si="1"/>
        <v/>
      </c>
      <c r="Q30" t="str">
        <f>IF(B30&lt;&gt;"",IF(B30="Entrée",0.366,0.228),"")</f>
        <v/>
      </c>
      <c r="R30" t="str">
        <f t="shared" si="2"/>
        <v/>
      </c>
      <c r="S30" t="str">
        <f t="shared" si="7"/>
        <v/>
      </c>
      <c r="T30" t="str" cm="1">
        <f t="array" ref="T30">IF(G30&lt;&gt;"",IF(COUNTIFS($G$2:G30,G30,$H$2:H30,"&gt;="&amp;DATE(YEAR(H30),1,1),$H$2:H30,"&lt;="&amp;DATE(YEAR(Q:QH30),12,31))&lt;=6,0,IF(COUNTIFS($G$2:G30,G30,$H$2:H30,"&gt;="&amp;DATE(YEAR(H30),1,1),$H$2:H30,"&lt;="&amp;DATE(YEAR(H30),12,31))&lt;=15,-0.1,IF(COUNTIFS($G$2:G30,G30,$H$2:H30,"&gt;="&amp;DATE(YEAR(H30),1,1),$H$2:H30,"&lt;="&amp;DATE(YEAR(H30),12,31))&lt;=30,-0.15,IF(COUNTIFS($G$2:G30,G30,$H$2:H30,"&gt;="&amp;DATE(YEAR(H30),1,1),$H$2:H30,"&lt;="&amp;DATE(YEAR(H30),12,31))&lt;=60,-0.2,IF(COUNTIFS($G$2:G30,G30,$H$2:H30,"&gt;="&amp;DATE(YEAR(H30),1,1),$H$2:H30,"&lt;="&amp;DATE(YEAR(H30),12,31))&lt;=120,-0.25,-0.3))))),"")</f>
        <v/>
      </c>
      <c r="U30" t="str">
        <f>IF(G30&lt;&gt;"",0,"")</f>
        <v/>
      </c>
      <c r="V30" t="str">
        <f>IF(AND(G30&lt;&gt;"",B30="Entrée"),65,"")</f>
        <v/>
      </c>
      <c r="W30" t="str">
        <f t="shared" si="3"/>
        <v/>
      </c>
      <c r="X30" t="str">
        <f t="shared" si="4"/>
        <v/>
      </c>
      <c r="Y30" t="str">
        <f t="shared" si="5"/>
        <v/>
      </c>
      <c r="Z30" t="str">
        <f t="shared" si="6"/>
        <v/>
      </c>
    </row>
    <row r="31" spans="4:26">
      <c r="D31" t="str">
        <f>IF(C31&lt;&gt;"",VLOOKUP(C31,Tableau3[#All],2,0),"")</f>
        <v/>
      </c>
      <c r="F31" t="str">
        <f t="shared" si="0"/>
        <v/>
      </c>
      <c r="M31" t="str">
        <f>IF(G31&lt;&gt;"",VLOOKUP(G31,'Caractéristique navire de pêche'!$B:$E,3,0),"")</f>
        <v/>
      </c>
      <c r="N31" t="str">
        <f>IF(G31&lt;&gt;"",VLOOKUP(G31,'[1]caractéristiques Navire de pêch'!$B:$E,2,0),"")</f>
        <v/>
      </c>
      <c r="O31" t="str">
        <f>IF(G31&lt;&gt;"",_xlfn.LET(_xlpm.te_reel,VLOOKUP(G31,Tableau13[[#All],[Nom du Navire ]:[Tirant d''eau (m)]],4,0),_xlpm.longueur,VLOOKUP(G31,Tableau13[[#All],[Nom du Navire ]:[Tirant d''eau (m)]],2,0),_xlpm.largeur,VLOOKUP(G31,Tableau13[[#All],[Nom du Navire ]:[Tirant d''eau (m)]],3,0),_xlpm.te_theorique,0.14*SQRT(_xlpm.longueur*_xlpm.largeur),IF(_xlpm.te_reel&gt;=_xlpm.te_theorique,_xlpm.te_reel,ROUND(_xlpm.te_theorique,2))),"")</f>
        <v/>
      </c>
      <c r="P31" t="str">
        <f t="shared" si="1"/>
        <v/>
      </c>
      <c r="Q31" t="str">
        <f>IF(B31&lt;&gt;"",IF(B31="Entrée",0.366,0.228),"")</f>
        <v/>
      </c>
      <c r="R31" t="str">
        <f t="shared" si="2"/>
        <v/>
      </c>
      <c r="S31" t="str">
        <f t="shared" si="7"/>
        <v/>
      </c>
      <c r="T31" t="str" cm="1">
        <f t="array" ref="T31">IF(G31&lt;&gt;"",IF(COUNTIFS($G$2:G31,G31,$H$2:H31,"&gt;="&amp;DATE(YEAR(H31),1,1),$H$2:H31,"&lt;="&amp;DATE(YEAR(Q:QH31),12,31))&lt;=6,0,IF(COUNTIFS($G$2:G31,G31,$H$2:H31,"&gt;="&amp;DATE(YEAR(H31),1,1),$H$2:H31,"&lt;="&amp;DATE(YEAR(H31),12,31))&lt;=15,-0.1,IF(COUNTIFS($G$2:G31,G31,$H$2:H31,"&gt;="&amp;DATE(YEAR(H31),1,1),$H$2:H31,"&lt;="&amp;DATE(YEAR(H31),12,31))&lt;=30,-0.15,IF(COUNTIFS($G$2:G31,G31,$H$2:H31,"&gt;="&amp;DATE(YEAR(H31),1,1),$H$2:H31,"&lt;="&amp;DATE(YEAR(H31),12,31))&lt;=60,-0.2,IF(COUNTIFS($G$2:G31,G31,$H$2:H31,"&gt;="&amp;DATE(YEAR(H31),1,1),$H$2:H31,"&lt;="&amp;DATE(YEAR(H31),12,31))&lt;=120,-0.25,-0.3))))),"")</f>
        <v/>
      </c>
      <c r="U31" t="str">
        <f>IF(G31&lt;&gt;"",0,"")</f>
        <v/>
      </c>
      <c r="V31" t="str">
        <f>IF(AND(G31&lt;&gt;"",B31="Entrée"),65,"")</f>
        <v/>
      </c>
      <c r="W31" t="str">
        <f t="shared" si="3"/>
        <v/>
      </c>
      <c r="X31" t="str">
        <f t="shared" si="4"/>
        <v/>
      </c>
      <c r="Y31" t="str">
        <f t="shared" si="5"/>
        <v/>
      </c>
      <c r="Z31" t="str">
        <f t="shared" si="6"/>
        <v/>
      </c>
    </row>
    <row r="32" spans="4:26">
      <c r="D32" t="str">
        <f>IF(C32&lt;&gt;"",VLOOKUP(C32,Tableau3[#All],2,0),"")</f>
        <v/>
      </c>
      <c r="F32" t="str">
        <f t="shared" si="0"/>
        <v/>
      </c>
      <c r="M32" t="str">
        <f>IF(G32&lt;&gt;"",VLOOKUP(G32,'Caractéristique navire de pêche'!$B:$E,3,0),"")</f>
        <v/>
      </c>
      <c r="N32" t="str">
        <f>IF(G32&lt;&gt;"",VLOOKUP(G32,'[1]caractéristiques Navire de pêch'!$B:$E,2,0),"")</f>
        <v/>
      </c>
      <c r="O32" t="str">
        <f>IF(G32&lt;&gt;"",_xlfn.LET(_xlpm.te_reel,VLOOKUP(G32,Tableau13[[#All],[Nom du Navire ]:[Tirant d''eau (m)]],4,0),_xlpm.longueur,VLOOKUP(G32,Tableau13[[#All],[Nom du Navire ]:[Tirant d''eau (m)]],2,0),_xlpm.largeur,VLOOKUP(G32,Tableau13[[#All],[Nom du Navire ]:[Tirant d''eau (m)]],3,0),_xlpm.te_theorique,0.14*SQRT(_xlpm.longueur*_xlpm.largeur),IF(_xlpm.te_reel&gt;=_xlpm.te_theorique,_xlpm.te_reel,ROUND(_xlpm.te_theorique,2))),"")</f>
        <v/>
      </c>
      <c r="P32" t="str">
        <f t="shared" si="1"/>
        <v/>
      </c>
      <c r="Q32" t="str">
        <f>IF(B32&lt;&gt;"",IF(B32="Entrée",0.366,0.228),"")</f>
        <v/>
      </c>
      <c r="R32" t="str">
        <f t="shared" si="2"/>
        <v/>
      </c>
      <c r="S32" t="str">
        <f t="shared" si="7"/>
        <v/>
      </c>
      <c r="T32" t="str" cm="1">
        <f t="array" ref="T32">IF(G32&lt;&gt;"",IF(COUNTIFS($G$2:G32,G32,$H$2:H32,"&gt;="&amp;DATE(YEAR(H32),1,1),$H$2:H32,"&lt;="&amp;DATE(YEAR(Q:QH32),12,31))&lt;=6,0,IF(COUNTIFS($G$2:G32,G32,$H$2:H32,"&gt;="&amp;DATE(YEAR(H32),1,1),$H$2:H32,"&lt;="&amp;DATE(YEAR(H32),12,31))&lt;=15,-0.1,IF(COUNTIFS($G$2:G32,G32,$H$2:H32,"&gt;="&amp;DATE(YEAR(H32),1,1),$H$2:H32,"&lt;="&amp;DATE(YEAR(H32),12,31))&lt;=30,-0.15,IF(COUNTIFS($G$2:G32,G32,$H$2:H32,"&gt;="&amp;DATE(YEAR(H32),1,1),$H$2:H32,"&lt;="&amp;DATE(YEAR(H32),12,31))&lt;=60,-0.2,IF(COUNTIFS($G$2:G32,G32,$H$2:H32,"&gt;="&amp;DATE(YEAR(H32),1,1),$H$2:H32,"&lt;="&amp;DATE(YEAR(H32),12,31))&lt;=120,-0.25,-0.3))))),"")</f>
        <v/>
      </c>
      <c r="U32" t="str">
        <f>IF(G32&lt;&gt;"",0,"")</f>
        <v/>
      </c>
      <c r="V32" t="str">
        <f>IF(AND(G32&lt;&gt;"",B32="Entrée"),65,"")</f>
        <v/>
      </c>
      <c r="W32" t="str">
        <f t="shared" si="3"/>
        <v/>
      </c>
      <c r="X32" t="str">
        <f t="shared" si="4"/>
        <v/>
      </c>
      <c r="Y32" t="str">
        <f t="shared" si="5"/>
        <v/>
      </c>
      <c r="Z32" t="str">
        <f t="shared" si="6"/>
        <v/>
      </c>
    </row>
    <row r="33" spans="4:26">
      <c r="D33" t="str">
        <f>IF(C33&lt;&gt;"",VLOOKUP(C33,Tableau3[#All],2,0),"")</f>
        <v/>
      </c>
      <c r="F33" t="str">
        <f t="shared" si="0"/>
        <v/>
      </c>
      <c r="M33" t="str">
        <f>IF(G33&lt;&gt;"",VLOOKUP(G33,'Caractéristique navire de pêche'!$B:$E,3,0),"")</f>
        <v/>
      </c>
      <c r="N33" t="str">
        <f>IF(G33&lt;&gt;"",VLOOKUP(G33,'[1]caractéristiques Navire de pêch'!$B:$E,2,0),"")</f>
        <v/>
      </c>
      <c r="O33" t="str">
        <f>IF(G33&lt;&gt;"",_xlfn.LET(_xlpm.te_reel,VLOOKUP(G33,Tableau13[[#All],[Nom du Navire ]:[Tirant d''eau (m)]],4,0),_xlpm.longueur,VLOOKUP(G33,Tableau13[[#All],[Nom du Navire ]:[Tirant d''eau (m)]],2,0),_xlpm.largeur,VLOOKUP(G33,Tableau13[[#All],[Nom du Navire ]:[Tirant d''eau (m)]],3,0),_xlpm.te_theorique,0.14*SQRT(_xlpm.longueur*_xlpm.largeur),IF(_xlpm.te_reel&gt;=_xlpm.te_theorique,_xlpm.te_reel,ROUND(_xlpm.te_theorique,2))),"")</f>
        <v/>
      </c>
      <c r="P33" t="str">
        <f t="shared" si="1"/>
        <v/>
      </c>
      <c r="Q33" t="str">
        <f>IF(B33&lt;&gt;"",IF(B33="Entrée",0.366,0.228),"")</f>
        <v/>
      </c>
      <c r="R33" t="str">
        <f t="shared" si="2"/>
        <v/>
      </c>
      <c r="S33" t="str">
        <f t="shared" si="7"/>
        <v/>
      </c>
      <c r="T33" t="str" cm="1">
        <f t="array" ref="T33">IF(G33&lt;&gt;"",IF(COUNTIFS($G$2:G33,G33,$H$2:H33,"&gt;="&amp;DATE(YEAR(H33),1,1),$H$2:H33,"&lt;="&amp;DATE(YEAR(Q:QH33),12,31))&lt;=6,0,IF(COUNTIFS($G$2:G33,G33,$H$2:H33,"&gt;="&amp;DATE(YEAR(H33),1,1),$H$2:H33,"&lt;="&amp;DATE(YEAR(H33),12,31))&lt;=15,-0.1,IF(COUNTIFS($G$2:G33,G33,$H$2:H33,"&gt;="&amp;DATE(YEAR(H33),1,1),$H$2:H33,"&lt;="&amp;DATE(YEAR(H33),12,31))&lt;=30,-0.15,IF(COUNTIFS($G$2:G33,G33,$H$2:H33,"&gt;="&amp;DATE(YEAR(H33),1,1),$H$2:H33,"&lt;="&amp;DATE(YEAR(H33),12,31))&lt;=60,-0.2,IF(COUNTIFS($G$2:G33,G33,$H$2:H33,"&gt;="&amp;DATE(YEAR(H33),1,1),$H$2:H33,"&lt;="&amp;DATE(YEAR(H33),12,31))&lt;=120,-0.25,-0.3))))),"")</f>
        <v/>
      </c>
      <c r="U33" t="str">
        <f>IF(G33&lt;&gt;"",0,"")</f>
        <v/>
      </c>
      <c r="V33" t="str">
        <f>IF(AND(G33&lt;&gt;"",B33="Entrée"),65,"")</f>
        <v/>
      </c>
      <c r="W33" t="str">
        <f t="shared" si="3"/>
        <v/>
      </c>
      <c r="X33" t="str">
        <f t="shared" si="4"/>
        <v/>
      </c>
      <c r="Y33" t="str">
        <f t="shared" si="5"/>
        <v/>
      </c>
      <c r="Z33" t="str">
        <f t="shared" si="6"/>
        <v/>
      </c>
    </row>
    <row r="34" spans="4:26">
      <c r="D34" t="str">
        <f>IF(C34&lt;&gt;"",VLOOKUP(C34,Tableau3[#All],2,0),"")</f>
        <v/>
      </c>
      <c r="F34" t="str">
        <f t="shared" si="0"/>
        <v/>
      </c>
      <c r="M34" t="str">
        <f>IF(G34&lt;&gt;"",VLOOKUP(G34,'Caractéristique navire de pêche'!$B:$E,3,0),"")</f>
        <v/>
      </c>
      <c r="N34" t="str">
        <f>IF(G34&lt;&gt;"",VLOOKUP(G34,'[1]caractéristiques Navire de pêch'!$B:$E,2,0),"")</f>
        <v/>
      </c>
      <c r="O34" t="str">
        <f>IF(G34&lt;&gt;"",_xlfn.LET(_xlpm.te_reel,VLOOKUP(G34,Tableau13[[#All],[Nom du Navire ]:[Tirant d''eau (m)]],4,0),_xlpm.longueur,VLOOKUP(G34,Tableau13[[#All],[Nom du Navire ]:[Tirant d''eau (m)]],2,0),_xlpm.largeur,VLOOKUP(G34,Tableau13[[#All],[Nom du Navire ]:[Tirant d''eau (m)]],3,0),_xlpm.te_theorique,0.14*SQRT(_xlpm.longueur*_xlpm.largeur),IF(_xlpm.te_reel&gt;=_xlpm.te_theorique,_xlpm.te_reel,ROUND(_xlpm.te_theorique,2))),"")</f>
        <v/>
      </c>
      <c r="P34" t="str">
        <f t="shared" si="1"/>
        <v/>
      </c>
      <c r="Q34" t="str">
        <f>IF(B34&lt;&gt;"",IF(B34="Entrée",0.366,0.228),"")</f>
        <v/>
      </c>
      <c r="R34" t="str">
        <f t="shared" si="2"/>
        <v/>
      </c>
      <c r="S34" t="str">
        <f t="shared" si="7"/>
        <v/>
      </c>
      <c r="T34" t="str" cm="1">
        <f t="array" ref="T34">IF(G34&lt;&gt;"",IF(COUNTIFS($G$2:G34,G34,$H$2:H34,"&gt;="&amp;DATE(YEAR(H34),1,1),$H$2:H34,"&lt;="&amp;DATE(YEAR(Q:QH34),12,31))&lt;=6,0,IF(COUNTIFS($G$2:G34,G34,$H$2:H34,"&gt;="&amp;DATE(YEAR(H34),1,1),$H$2:H34,"&lt;="&amp;DATE(YEAR(H34),12,31))&lt;=15,-0.1,IF(COUNTIFS($G$2:G34,G34,$H$2:H34,"&gt;="&amp;DATE(YEAR(H34),1,1),$H$2:H34,"&lt;="&amp;DATE(YEAR(H34),12,31))&lt;=30,-0.15,IF(COUNTIFS($G$2:G34,G34,$H$2:H34,"&gt;="&amp;DATE(YEAR(H34),1,1),$H$2:H34,"&lt;="&amp;DATE(YEAR(H34),12,31))&lt;=60,-0.2,IF(COUNTIFS($G$2:G34,G34,$H$2:H34,"&gt;="&amp;DATE(YEAR(H34),1,1),$H$2:H34,"&lt;="&amp;DATE(YEAR(H34),12,31))&lt;=120,-0.25,-0.3))))),"")</f>
        <v/>
      </c>
      <c r="U34" t="str">
        <f>IF(G34&lt;&gt;"",0,"")</f>
        <v/>
      </c>
      <c r="V34" t="str">
        <f>IF(AND(G34&lt;&gt;"",B34="Entrée"),65,"")</f>
        <v/>
      </c>
      <c r="W34" t="str">
        <f t="shared" si="3"/>
        <v/>
      </c>
      <c r="X34" t="str">
        <f t="shared" si="4"/>
        <v/>
      </c>
      <c r="Y34" t="str">
        <f t="shared" si="5"/>
        <v/>
      </c>
      <c r="Z34" t="str">
        <f t="shared" si="6"/>
        <v/>
      </c>
    </row>
    <row r="35" spans="4:26">
      <c r="D35" t="str">
        <f>IF(C35&lt;&gt;"",VLOOKUP(C35,Tableau3[#All],2,0),"")</f>
        <v/>
      </c>
      <c r="F35" t="str">
        <f t="shared" si="0"/>
        <v/>
      </c>
      <c r="M35" t="str">
        <f>IF(G35&lt;&gt;"",VLOOKUP(G35,'Caractéristique navire de pêche'!$B:$E,3,0),"")</f>
        <v/>
      </c>
      <c r="N35" t="str">
        <f>IF(G35&lt;&gt;"",VLOOKUP(G35,'[1]caractéristiques Navire de pêch'!$B:$E,2,0),"")</f>
        <v/>
      </c>
      <c r="O35" t="str">
        <f>IF(G35&lt;&gt;"",_xlfn.LET(_xlpm.te_reel,VLOOKUP(G35,Tableau13[[#All],[Nom du Navire ]:[Tirant d''eau (m)]],4,0),_xlpm.longueur,VLOOKUP(G35,Tableau13[[#All],[Nom du Navire ]:[Tirant d''eau (m)]],2,0),_xlpm.largeur,VLOOKUP(G35,Tableau13[[#All],[Nom du Navire ]:[Tirant d''eau (m)]],3,0),_xlpm.te_theorique,0.14*SQRT(_xlpm.longueur*_xlpm.largeur),IF(_xlpm.te_reel&gt;=_xlpm.te_theorique,_xlpm.te_reel,ROUND(_xlpm.te_theorique,2))),"")</f>
        <v/>
      </c>
      <c r="P35" t="str">
        <f t="shared" si="1"/>
        <v/>
      </c>
      <c r="Q35" t="str">
        <f>IF(B35&lt;&gt;"",IF(B35="Entrée",0.366,0.228),"")</f>
        <v/>
      </c>
      <c r="R35" t="str">
        <f t="shared" si="2"/>
        <v/>
      </c>
      <c r="S35" t="str">
        <f t="shared" si="7"/>
        <v/>
      </c>
      <c r="T35" t="str" cm="1">
        <f t="array" ref="T35">IF(G35&lt;&gt;"",IF(COUNTIFS($G$2:G35,G35,$H$2:H35,"&gt;="&amp;DATE(YEAR(H35),1,1),$H$2:H35,"&lt;="&amp;DATE(YEAR(Q:QH35),12,31))&lt;=6,0,IF(COUNTIFS($G$2:G35,G35,$H$2:H35,"&gt;="&amp;DATE(YEAR(H35),1,1),$H$2:H35,"&lt;="&amp;DATE(YEAR(H35),12,31))&lt;=15,-0.1,IF(COUNTIFS($G$2:G35,G35,$H$2:H35,"&gt;="&amp;DATE(YEAR(H35),1,1),$H$2:H35,"&lt;="&amp;DATE(YEAR(H35),12,31))&lt;=30,-0.15,IF(COUNTIFS($G$2:G35,G35,$H$2:H35,"&gt;="&amp;DATE(YEAR(H35),1,1),$H$2:H35,"&lt;="&amp;DATE(YEAR(H35),12,31))&lt;=60,-0.2,IF(COUNTIFS($G$2:G35,G35,$H$2:H35,"&gt;="&amp;DATE(YEAR(H35),1,1),$H$2:H35,"&lt;="&amp;DATE(YEAR(H35),12,31))&lt;=120,-0.25,-0.3))))),"")</f>
        <v/>
      </c>
      <c r="U35" t="str">
        <f>IF(G35&lt;&gt;"",0,"")</f>
        <v/>
      </c>
      <c r="V35" t="str">
        <f>IF(AND(G35&lt;&gt;"",B35="Entrée"),65,"")</f>
        <v/>
      </c>
      <c r="W35" t="str">
        <f t="shared" si="3"/>
        <v/>
      </c>
      <c r="X35" t="str">
        <f t="shared" si="4"/>
        <v/>
      </c>
      <c r="Y35" t="str">
        <f t="shared" si="5"/>
        <v/>
      </c>
      <c r="Z35" t="str">
        <f t="shared" si="6"/>
        <v/>
      </c>
    </row>
    <row r="36" spans="4:26">
      <c r="D36" t="str">
        <f>IF(C36&lt;&gt;"",VLOOKUP(C36,Tableau3[#All],2,0),"")</f>
        <v/>
      </c>
      <c r="F36" t="str">
        <f t="shared" si="0"/>
        <v/>
      </c>
      <c r="M36" t="str">
        <f>IF(G36&lt;&gt;"",VLOOKUP(G36,'Caractéristique navire de pêche'!$B:$E,3,0),"")</f>
        <v/>
      </c>
      <c r="N36" t="str">
        <f>IF(G36&lt;&gt;"",VLOOKUP(G36,'[1]caractéristiques Navire de pêch'!$B:$E,2,0),"")</f>
        <v/>
      </c>
      <c r="O36" t="str">
        <f>IF(G36&lt;&gt;"",_xlfn.LET(_xlpm.te_reel,VLOOKUP(G36,Tableau13[[#All],[Nom du Navire ]:[Tirant d''eau (m)]],4,0),_xlpm.longueur,VLOOKUP(G36,Tableau13[[#All],[Nom du Navire ]:[Tirant d''eau (m)]],2,0),_xlpm.largeur,VLOOKUP(G36,Tableau13[[#All],[Nom du Navire ]:[Tirant d''eau (m)]],3,0),_xlpm.te_theorique,0.14*SQRT(_xlpm.longueur*_xlpm.largeur),IF(_xlpm.te_reel&gt;=_xlpm.te_theorique,_xlpm.te_reel,ROUND(_xlpm.te_theorique,2))),"")</f>
        <v/>
      </c>
      <c r="P36" t="str">
        <f t="shared" si="1"/>
        <v/>
      </c>
      <c r="Q36" t="str">
        <f>IF(B36&lt;&gt;"",IF(B36="Entrée",0.366,0.228),"")</f>
        <v/>
      </c>
      <c r="R36" t="str">
        <f t="shared" si="2"/>
        <v/>
      </c>
      <c r="S36" t="str">
        <f t="shared" si="7"/>
        <v/>
      </c>
      <c r="T36" t="str" cm="1">
        <f t="array" ref="T36">IF(G36&lt;&gt;"",IF(COUNTIFS($G$2:G36,G36,$H$2:H36,"&gt;="&amp;DATE(YEAR(H36),1,1),$H$2:H36,"&lt;="&amp;DATE(YEAR(Q:QH36),12,31))&lt;=6,0,IF(COUNTIFS($G$2:G36,G36,$H$2:H36,"&gt;="&amp;DATE(YEAR(H36),1,1),$H$2:H36,"&lt;="&amp;DATE(YEAR(H36),12,31))&lt;=15,-0.1,IF(COUNTIFS($G$2:G36,G36,$H$2:H36,"&gt;="&amp;DATE(YEAR(H36),1,1),$H$2:H36,"&lt;="&amp;DATE(YEAR(H36),12,31))&lt;=30,-0.15,IF(COUNTIFS($G$2:G36,G36,$H$2:H36,"&gt;="&amp;DATE(YEAR(H36),1,1),$H$2:H36,"&lt;="&amp;DATE(YEAR(H36),12,31))&lt;=60,-0.2,IF(COUNTIFS($G$2:G36,G36,$H$2:H36,"&gt;="&amp;DATE(YEAR(H36),1,1),$H$2:H36,"&lt;="&amp;DATE(YEAR(H36),12,31))&lt;=120,-0.25,-0.3))))),"")</f>
        <v/>
      </c>
      <c r="U36" t="str">
        <f>IF(G36&lt;&gt;"",0,"")</f>
        <v/>
      </c>
      <c r="V36" t="str">
        <f>IF(AND(G36&lt;&gt;"",B36="Entrée"),65,"")</f>
        <v/>
      </c>
      <c r="W36" t="str">
        <f t="shared" si="3"/>
        <v/>
      </c>
      <c r="X36" t="str">
        <f t="shared" si="4"/>
        <v/>
      </c>
      <c r="Y36" t="str">
        <f t="shared" si="5"/>
        <v/>
      </c>
      <c r="Z36" t="str">
        <f t="shared" si="6"/>
        <v/>
      </c>
    </row>
    <row r="37" spans="4:26">
      <c r="D37" t="str">
        <f>IF(C37&lt;&gt;"",VLOOKUP(C37,Tableau3[#All],2,0),"")</f>
        <v/>
      </c>
      <c r="F37" t="str">
        <f t="shared" si="0"/>
        <v/>
      </c>
      <c r="M37" t="str">
        <f>IF(G37&lt;&gt;"",VLOOKUP(G37,'Caractéristique navire de pêche'!$B:$E,3,0),"")</f>
        <v/>
      </c>
      <c r="N37" t="str">
        <f>IF(G37&lt;&gt;"",VLOOKUP(G37,'[1]caractéristiques Navire de pêch'!$B:$E,2,0),"")</f>
        <v/>
      </c>
      <c r="O37" t="str">
        <f>IF(G37&lt;&gt;"",_xlfn.LET(_xlpm.te_reel,VLOOKUP(G37,Tableau13[[#All],[Nom du Navire ]:[Tirant d''eau (m)]],4,0),_xlpm.longueur,VLOOKUP(G37,Tableau13[[#All],[Nom du Navire ]:[Tirant d''eau (m)]],2,0),_xlpm.largeur,VLOOKUP(G37,Tableau13[[#All],[Nom du Navire ]:[Tirant d''eau (m)]],3,0),_xlpm.te_theorique,0.14*SQRT(_xlpm.longueur*_xlpm.largeur),IF(_xlpm.te_reel&gt;=_xlpm.te_theorique,_xlpm.te_reel,ROUND(_xlpm.te_theorique,2))),"")</f>
        <v/>
      </c>
      <c r="P37" t="str">
        <f t="shared" si="1"/>
        <v/>
      </c>
      <c r="Q37" t="str">
        <f>IF(B37&lt;&gt;"",IF(B37="Entrée",0.366,0.228),"")</f>
        <v/>
      </c>
      <c r="R37" t="str">
        <f t="shared" si="2"/>
        <v/>
      </c>
      <c r="S37" t="str">
        <f t="shared" si="7"/>
        <v/>
      </c>
      <c r="T37" t="str" cm="1">
        <f t="array" ref="T37">IF(G37&lt;&gt;"",IF(COUNTIFS($G$2:G37,G37,$H$2:H37,"&gt;="&amp;DATE(YEAR(H37),1,1),$H$2:H37,"&lt;="&amp;DATE(YEAR(Q:QH37),12,31))&lt;=6,0,IF(COUNTIFS($G$2:G37,G37,$H$2:H37,"&gt;="&amp;DATE(YEAR(H37),1,1),$H$2:H37,"&lt;="&amp;DATE(YEAR(H37),12,31))&lt;=15,-0.1,IF(COUNTIFS($G$2:G37,G37,$H$2:H37,"&gt;="&amp;DATE(YEAR(H37),1,1),$H$2:H37,"&lt;="&amp;DATE(YEAR(H37),12,31))&lt;=30,-0.15,IF(COUNTIFS($G$2:G37,G37,$H$2:H37,"&gt;="&amp;DATE(YEAR(H37),1,1),$H$2:H37,"&lt;="&amp;DATE(YEAR(H37),12,31))&lt;=60,-0.2,IF(COUNTIFS($G$2:G37,G37,$H$2:H37,"&gt;="&amp;DATE(YEAR(H37),1,1),$H$2:H37,"&lt;="&amp;DATE(YEAR(H37),12,31))&lt;=120,-0.25,-0.3))))),"")</f>
        <v/>
      </c>
      <c r="U37" t="str">
        <f>IF(G37&lt;&gt;"",0,"")</f>
        <v/>
      </c>
      <c r="V37" t="str">
        <f>IF(AND(G37&lt;&gt;"",B37="Entrée"),65,"")</f>
        <v/>
      </c>
      <c r="W37" t="str">
        <f t="shared" si="3"/>
        <v/>
      </c>
      <c r="X37" t="str">
        <f t="shared" si="4"/>
        <v/>
      </c>
      <c r="Y37" t="str">
        <f t="shared" si="5"/>
        <v/>
      </c>
      <c r="Z37" t="str">
        <f t="shared" si="6"/>
        <v/>
      </c>
    </row>
    <row r="38" spans="4:26">
      <c r="D38" t="str">
        <f>IF(C38&lt;&gt;"",VLOOKUP(C38,Tableau3[#All],2,0),"")</f>
        <v/>
      </c>
      <c r="F38" t="str">
        <f t="shared" si="0"/>
        <v/>
      </c>
      <c r="M38" t="str">
        <f>IF(G38&lt;&gt;"",VLOOKUP(G38,'Caractéristique navire de pêche'!$B:$E,3,0),"")</f>
        <v/>
      </c>
      <c r="N38" t="str">
        <f>IF(G38&lt;&gt;"",VLOOKUP(G38,'[1]caractéristiques Navire de pêch'!$B:$E,2,0),"")</f>
        <v/>
      </c>
      <c r="O38" t="str">
        <f>IF(G38&lt;&gt;"",_xlfn.LET(_xlpm.te_reel,VLOOKUP(G38,Tableau13[[#All],[Nom du Navire ]:[Tirant d''eau (m)]],4,0),_xlpm.longueur,VLOOKUP(G38,Tableau13[[#All],[Nom du Navire ]:[Tirant d''eau (m)]],2,0),_xlpm.largeur,VLOOKUP(G38,Tableau13[[#All],[Nom du Navire ]:[Tirant d''eau (m)]],3,0),_xlpm.te_theorique,0.14*SQRT(_xlpm.longueur*_xlpm.largeur),IF(_xlpm.te_reel&gt;=_xlpm.te_theorique,_xlpm.te_reel,ROUND(_xlpm.te_theorique,2))),"")</f>
        <v/>
      </c>
      <c r="P38" t="str">
        <f t="shared" si="1"/>
        <v/>
      </c>
      <c r="Q38" t="str">
        <f>IF(B38&lt;&gt;"",IF(B38="Entrée",0.366,0.228),"")</f>
        <v/>
      </c>
      <c r="R38" t="str">
        <f t="shared" si="2"/>
        <v/>
      </c>
      <c r="S38" t="str">
        <f t="shared" si="7"/>
        <v/>
      </c>
      <c r="T38" t="str" cm="1">
        <f t="array" ref="T38">IF(G38&lt;&gt;"",IF(COUNTIFS($G$2:G38,G38,$H$2:H38,"&gt;="&amp;DATE(YEAR(H38),1,1),$H$2:H38,"&lt;="&amp;DATE(YEAR(Q:QH38),12,31))&lt;=6,0,IF(COUNTIFS($G$2:G38,G38,$H$2:H38,"&gt;="&amp;DATE(YEAR(H38),1,1),$H$2:H38,"&lt;="&amp;DATE(YEAR(H38),12,31))&lt;=15,-0.1,IF(COUNTIFS($G$2:G38,G38,$H$2:H38,"&gt;="&amp;DATE(YEAR(H38),1,1),$H$2:H38,"&lt;="&amp;DATE(YEAR(H38),12,31))&lt;=30,-0.15,IF(COUNTIFS($G$2:G38,G38,$H$2:H38,"&gt;="&amp;DATE(YEAR(H38),1,1),$H$2:H38,"&lt;="&amp;DATE(YEAR(H38),12,31))&lt;=60,-0.2,IF(COUNTIFS($G$2:G38,G38,$H$2:H38,"&gt;="&amp;DATE(YEAR(H38),1,1),$H$2:H38,"&lt;="&amp;DATE(YEAR(H38),12,31))&lt;=120,-0.25,-0.3))))),"")</f>
        <v/>
      </c>
      <c r="U38" t="str">
        <f>IF(G38&lt;&gt;"",0,"")</f>
        <v/>
      </c>
      <c r="V38" t="str">
        <f>IF(AND(G38&lt;&gt;"",B38="Entrée"),65,"")</f>
        <v/>
      </c>
      <c r="W38" t="str">
        <f t="shared" si="3"/>
        <v/>
      </c>
      <c r="X38" t="str">
        <f t="shared" si="4"/>
        <v/>
      </c>
      <c r="Y38" t="str">
        <f t="shared" si="5"/>
        <v/>
      </c>
      <c r="Z38" t="str">
        <f t="shared" si="6"/>
        <v/>
      </c>
    </row>
  </sheetData>
  <dataValidations count="5">
    <dataValidation type="decimal" allowBlank="1" showInputMessage="1" showErrorMessage="1" errorTitle="Format incorrect " error="Veuillez entrer le tonnage en tonnes uniquement " promptTitle="Tonnage" prompt="Entrez le tonnage en tonnes (ex:1,5 pour 1,5 tonnes)" sqref="L1:L1048576" xr:uid="{1DC9575D-39AB-4BCE-839B-E9908BB5F13D}">
      <formula1>0</formula1>
      <formula2>50</formula2>
    </dataValidation>
    <dataValidation type="list" allowBlank="1" showInputMessage="1" showErrorMessage="1" sqref="C2" xr:uid="{2734802A-40BB-4A87-BEAF-4E02CCBB6D81}">
      <formula1>"DSK Fish,Poissonnerie Bapte,Delta Transit"</formula1>
    </dataValidation>
    <dataValidation type="list" allowBlank="1" showInputMessage="1" showErrorMessage="1" sqref="G2" xr:uid="{354C5369-856C-4B47-87A2-14D6AB54ABF4}">
      <formula1>"PATHFINDER,NATHALIA,SAMANTHA DEL VALLEE;ARACELYS MARIA,EL SUR,DON CRUZ,QUEEN MARY,MARIA CELIS 3;MARIA CELIS 2,MARIA CELIS 4,MAYELEWO,EL SUR,DON FAUSTINO"</formula1>
    </dataValidation>
    <dataValidation allowBlank="1" showInputMessage="1" showErrorMessage="1" sqref="D2 F2" xr:uid="{CD4E53B9-1C11-42A8-B01E-2460C3DFF017}"/>
    <dataValidation allowBlank="1" showInputMessage="1" showErrorMessage="1" sqref="E2" xr:uid="{1218FE73-92EC-4C32-A1CB-823E84623F31}"/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48872-91E8-49A7-BF70-883F96B227DE}">
  <dimension ref="A1:E15"/>
  <sheetViews>
    <sheetView tabSelected="1" workbookViewId="0">
      <selection activeCell="B1" sqref="B1:B1048576"/>
    </sheetView>
  </sheetViews>
  <sheetFormatPr defaultRowHeight="15"/>
  <cols>
    <col min="1" max="1" width="18.7109375" customWidth="1"/>
    <col min="2" max="2" width="22.7109375" customWidth="1"/>
    <col min="3" max="3" width="27.5703125" customWidth="1"/>
    <col min="4" max="4" width="26.42578125" customWidth="1"/>
    <col min="5" max="5" width="19.85546875" customWidth="1"/>
  </cols>
  <sheetData>
    <row r="1" spans="1:5" ht="18.75">
      <c r="A1" s="4" t="s">
        <v>29</v>
      </c>
      <c r="B1" s="5" t="s">
        <v>30</v>
      </c>
      <c r="C1" s="5" t="s">
        <v>31</v>
      </c>
      <c r="D1" s="6" t="s">
        <v>32</v>
      </c>
      <c r="E1" s="4" t="s">
        <v>33</v>
      </c>
    </row>
    <row r="2" spans="1:5">
      <c r="A2" s="7" t="s">
        <v>27</v>
      </c>
      <c r="B2" s="8" t="s">
        <v>28</v>
      </c>
      <c r="C2" s="8">
        <v>14.5</v>
      </c>
      <c r="D2" s="9">
        <v>4.3899999999999997</v>
      </c>
      <c r="E2" s="7">
        <v>1.8</v>
      </c>
    </row>
    <row r="3" spans="1:5">
      <c r="A3" s="7"/>
      <c r="B3" s="8"/>
      <c r="C3" s="8"/>
      <c r="D3" s="9"/>
      <c r="E3" s="7"/>
    </row>
    <row r="4" spans="1:5">
      <c r="A4" s="7"/>
      <c r="B4" s="8"/>
      <c r="C4" s="8"/>
      <c r="D4" s="9"/>
      <c r="E4" s="7"/>
    </row>
    <row r="5" spans="1:5">
      <c r="A5" s="7"/>
      <c r="B5" s="8"/>
      <c r="C5" s="8"/>
      <c r="D5" s="9"/>
      <c r="E5" s="7"/>
    </row>
    <row r="6" spans="1:5">
      <c r="A6" s="7"/>
      <c r="B6" s="8"/>
      <c r="C6" s="10"/>
      <c r="D6" s="9"/>
      <c r="E6" s="7"/>
    </row>
    <row r="7" spans="1:5">
      <c r="A7" s="7"/>
      <c r="B7" s="8"/>
      <c r="C7" s="11"/>
      <c r="D7" s="9"/>
      <c r="E7" s="7"/>
    </row>
    <row r="8" spans="1:5">
      <c r="A8" s="7"/>
      <c r="B8" s="8"/>
      <c r="C8" s="12"/>
      <c r="D8" s="9"/>
      <c r="E8" s="7"/>
    </row>
    <row r="9" spans="1:5">
      <c r="A9" s="7"/>
      <c r="B9" s="8"/>
      <c r="C9" s="8"/>
      <c r="D9" s="9"/>
      <c r="E9" s="7"/>
    </row>
    <row r="10" spans="1:5">
      <c r="A10" s="7"/>
      <c r="B10" s="8"/>
      <c r="C10" s="8"/>
      <c r="D10" s="9"/>
      <c r="E10" s="7"/>
    </row>
    <row r="11" spans="1:5">
      <c r="A11" s="7"/>
      <c r="B11" s="8"/>
      <c r="C11" s="8"/>
      <c r="D11" s="9"/>
      <c r="E11" s="7"/>
    </row>
    <row r="12" spans="1:5">
      <c r="A12" s="7"/>
      <c r="B12" s="8"/>
      <c r="C12" s="8"/>
      <c r="D12" s="9"/>
      <c r="E12" s="7"/>
    </row>
    <row r="13" spans="1:5">
      <c r="A13" s="7"/>
      <c r="B13" s="8"/>
      <c r="C13" s="8"/>
      <c r="D13" s="9"/>
      <c r="E13" s="7"/>
    </row>
    <row r="14" spans="1:5">
      <c r="A14" s="7"/>
      <c r="B14" s="8"/>
      <c r="C14" s="8"/>
      <c r="D14" s="9"/>
      <c r="E14" s="7"/>
    </row>
    <row r="15" spans="1:5">
      <c r="A15" s="13"/>
      <c r="B15" s="8"/>
      <c r="C15" s="14"/>
      <c r="D15" s="15"/>
      <c r="E15" s="13"/>
    </row>
  </sheetData>
  <dataValidations count="2">
    <dataValidation type="list" allowBlank="1" showInputMessage="1" showErrorMessage="1" sqref="A2:A15" xr:uid="{E2910900-9C30-4A18-9496-476E3FB8CC0C}">
      <formula1>"DSK Fish,Poissonnerie Bapte,Delta Transit"</formula1>
    </dataValidation>
    <dataValidation type="list" allowBlank="1" showInputMessage="1" showErrorMessage="1" sqref="B2:B15" xr:uid="{33C8A05D-5FBB-4930-9B27-20DC68C9FA09}">
      <formula1>"PATHFINDER,NATHALIA,SAMANTHA DEL VALLEE,ARACELYS MARIA,EL SUR,DON CRUZ,QUEEN MARY,MARIA CELIS 3,MARIA CELIS 2,MARIA CELIS 4,MAYELEWO,EL SUR,DON FAUSTINO"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95B26-F7E2-4470-95CE-93C18E346372}">
  <dimension ref="A1:D4"/>
  <sheetViews>
    <sheetView workbookViewId="0">
      <selection activeCell="A5" sqref="A5"/>
    </sheetView>
  </sheetViews>
  <sheetFormatPr defaultRowHeight="15"/>
  <cols>
    <col min="1" max="1" width="18.28515625" customWidth="1"/>
    <col min="2" max="2" width="74.42578125" customWidth="1"/>
  </cols>
  <sheetData>
    <row r="1" spans="1:4">
      <c r="A1" t="s">
        <v>34</v>
      </c>
      <c r="B1" t="s">
        <v>35</v>
      </c>
    </row>
    <row r="2" spans="1:4">
      <c r="A2" t="s">
        <v>27</v>
      </c>
      <c r="B2" t="s">
        <v>36</v>
      </c>
      <c r="D2" t="str">
        <f>IF(C2&lt;&gt;"",VLOOKUP(C2,Tableau3[#All],2,0),"")</f>
        <v/>
      </c>
    </row>
    <row r="3" spans="1:4">
      <c r="A3" t="s">
        <v>37</v>
      </c>
      <c r="B3" t="s">
        <v>38</v>
      </c>
    </row>
    <row r="4" spans="1:4">
      <c r="A4" t="s">
        <v>39</v>
      </c>
      <c r="B4" t="s">
        <v>40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2026-04-17T14:58:38Z</dcterms:created>
  <dcterms:modified xsi:type="dcterms:W3CDTF">2026-04-20T19:32:28Z</dcterms:modified>
  <cp:category/>
  <cp:contentStatus/>
</cp:coreProperties>
</file>