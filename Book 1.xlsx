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66925"/>
  <xr:revisionPtr revIDLastSave="0" documentId="8_{0C99A07A-CEC1-4B14-BF80-B85A651C1A2B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/>
  <c r="R3" i="1" a="1"/>
  <c r="R3" i="1"/>
  <c r="R4" i="1" a="1"/>
  <c r="R4" i="1"/>
  <c r="R5" i="1" a="1"/>
  <c r="R5" i="1"/>
  <c r="R6" i="1" a="1"/>
  <c r="R6" i="1"/>
  <c r="R7" i="1" a="1"/>
  <c r="R7" i="1"/>
  <c r="R8" i="1" a="1"/>
  <c r="R8" i="1"/>
  <c r="R9" i="1" a="1"/>
  <c r="R9" i="1"/>
  <c r="R10" i="1" a="1"/>
  <c r="R10" i="1"/>
  <c r="R11" i="1" a="1"/>
  <c r="R11" i="1"/>
  <c r="R12" i="1" a="1"/>
  <c r="R12" i="1"/>
  <c r="R13" i="1" a="1"/>
  <c r="R13" i="1"/>
  <c r="R14" i="1" a="1"/>
  <c r="R14" i="1"/>
  <c r="R15" i="1" a="1"/>
  <c r="R15" i="1"/>
  <c r="R16" i="1" a="1"/>
  <c r="R16" i="1"/>
  <c r="R17" i="1" a="1"/>
  <c r="R17" i="1"/>
  <c r="R18" i="1" a="1"/>
  <c r="R18" i="1"/>
  <c r="R19" i="1" a="1"/>
  <c r="R19" i="1"/>
  <c r="R20" i="1" a="1"/>
  <c r="R20" i="1"/>
  <c r="R21" i="1" a="1"/>
  <c r="R21" i="1"/>
  <c r="R22" i="1" a="1"/>
  <c r="R22" i="1"/>
  <c r="R23" i="1" a="1"/>
  <c r="R23" i="1"/>
  <c r="R24" i="1" a="1"/>
  <c r="R24" i="1"/>
  <c r="R25" i="1" a="1"/>
  <c r="R25" i="1"/>
  <c r="R26" i="1" a="1"/>
  <c r="R26" i="1"/>
  <c r="R27" i="1" a="1"/>
  <c r="R27" i="1"/>
  <c r="R28" i="1" a="1"/>
  <c r="R28" i="1"/>
  <c r="R29" i="1" a="1"/>
  <c r="R29" i="1"/>
  <c r="R30" i="1" a="1"/>
  <c r="R30" i="1"/>
  <c r="R31" i="1" a="1"/>
  <c r="R31" i="1"/>
  <c r="R32" i="1" a="1"/>
  <c r="R32" i="1"/>
  <c r="R33" i="1" a="1"/>
  <c r="R33" i="1"/>
  <c r="R34" i="1" a="1"/>
  <c r="R34" i="1"/>
  <c r="R35" i="1" a="1"/>
  <c r="R35" i="1"/>
  <c r="R36" i="1" a="1"/>
  <c r="R36" i="1"/>
  <c r="R37" i="1" a="1"/>
  <c r="R37" i="1"/>
  <c r="R38" i="1" a="1"/>
  <c r="R38" i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N2" i="1"/>
  <c r="Q2" i="1" s="1"/>
  <c r="N3" i="1"/>
  <c r="K4" i="1"/>
  <c r="N4" i="1" s="1"/>
  <c r="K5" i="1"/>
  <c r="N5" i="1" s="1"/>
  <c r="K6" i="1"/>
  <c r="N6" i="1" s="1"/>
  <c r="K7" i="1"/>
  <c r="N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7" i="1"/>
  <c r="N17" i="1" s="1"/>
  <c r="K18" i="1"/>
  <c r="N18" i="1" s="1"/>
  <c r="K19" i="1"/>
  <c r="N19" i="1" s="1"/>
  <c r="K20" i="1"/>
  <c r="N20" i="1" s="1"/>
  <c r="K21" i="1"/>
  <c r="N21" i="1" s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8" i="1"/>
  <c r="N28" i="1" s="1"/>
  <c r="K29" i="1"/>
  <c r="N29" i="1" s="1"/>
  <c r="K30" i="1"/>
  <c r="N30" i="1" s="1"/>
  <c r="K31" i="1"/>
  <c r="N31" i="1" s="1"/>
  <c r="K32" i="1"/>
  <c r="N32" i="1" s="1"/>
  <c r="K33" i="1"/>
  <c r="N33" i="1" s="1"/>
  <c r="K34" i="1"/>
  <c r="N34" i="1" s="1"/>
  <c r="K35" i="1"/>
  <c r="N35" i="1" s="1"/>
  <c r="K36" i="1"/>
  <c r="N36" i="1" s="1"/>
  <c r="K37" i="1"/>
  <c r="N37" i="1" s="1"/>
  <c r="K38" i="1"/>
  <c r="N38" i="1" s="1"/>
  <c r="P38" i="1" l="1"/>
  <c r="Q38" i="1"/>
  <c r="P37" i="1"/>
  <c r="Q37" i="1"/>
  <c r="P36" i="1"/>
  <c r="Q36" i="1"/>
  <c r="P35" i="1"/>
  <c r="Q35" i="1"/>
  <c r="P34" i="1"/>
  <c r="Q34" i="1"/>
  <c r="P33" i="1"/>
  <c r="Q33" i="1"/>
  <c r="P32" i="1"/>
  <c r="Q32" i="1"/>
  <c r="P31" i="1"/>
  <c r="Q31" i="1"/>
  <c r="P30" i="1"/>
  <c r="Q30" i="1"/>
  <c r="P29" i="1"/>
  <c r="Q29" i="1"/>
  <c r="P28" i="1"/>
  <c r="Q28" i="1"/>
  <c r="P27" i="1"/>
  <c r="Q27" i="1"/>
  <c r="P26" i="1"/>
  <c r="Q26" i="1"/>
  <c r="P25" i="1"/>
  <c r="Q25" i="1"/>
  <c r="P24" i="1"/>
  <c r="Q24" i="1"/>
  <c r="P23" i="1"/>
  <c r="Q23" i="1"/>
  <c r="P22" i="1"/>
  <c r="Q22" i="1"/>
  <c r="P21" i="1"/>
  <c r="Q21" i="1"/>
  <c r="P20" i="1"/>
  <c r="Q20" i="1"/>
  <c r="P19" i="1"/>
  <c r="Q19" i="1"/>
  <c r="P18" i="1"/>
  <c r="Q18" i="1"/>
  <c r="P17" i="1"/>
  <c r="Q17" i="1"/>
  <c r="P16" i="1"/>
  <c r="Q16" i="1"/>
  <c r="P15" i="1"/>
  <c r="Q15" i="1"/>
  <c r="P14" i="1"/>
  <c r="Q14" i="1"/>
  <c r="P13" i="1"/>
  <c r="Q13" i="1"/>
  <c r="P12" i="1"/>
  <c r="Q12" i="1"/>
  <c r="P11" i="1"/>
  <c r="Q11" i="1"/>
  <c r="P10" i="1"/>
  <c r="Q10" i="1"/>
  <c r="P9" i="1"/>
  <c r="Q9" i="1"/>
  <c r="P8" i="1"/>
  <c r="Q8" i="1"/>
  <c r="P7" i="1"/>
  <c r="Q7" i="1"/>
  <c r="P6" i="1"/>
  <c r="Q6" i="1"/>
  <c r="P5" i="1"/>
  <c r="Q5" i="1"/>
  <c r="P4" i="1"/>
  <c r="Q4" i="1"/>
  <c r="P3" i="1"/>
  <c r="Q3" i="1"/>
  <c r="P2" i="1"/>
  <c r="U2" i="1" l="1"/>
  <c r="V2" i="1" s="1"/>
  <c r="W2" i="1" s="1"/>
  <c r="X2" i="1" s="1"/>
  <c r="U3" i="1"/>
  <c r="V3" i="1" s="1"/>
  <c r="W3" i="1" s="1"/>
  <c r="X3" i="1" s="1"/>
  <c r="U4" i="1"/>
  <c r="V4" i="1" s="1"/>
  <c r="W4" i="1" s="1"/>
  <c r="X4" i="1" s="1"/>
  <c r="U5" i="1"/>
  <c r="V5" i="1" s="1"/>
  <c r="W5" i="1" s="1"/>
  <c r="X5" i="1" s="1"/>
  <c r="U6" i="1"/>
  <c r="V6" i="1" s="1"/>
  <c r="W6" i="1" s="1"/>
  <c r="X6" i="1" s="1"/>
  <c r="U7" i="1"/>
  <c r="V7" i="1" s="1"/>
  <c r="W7" i="1" s="1"/>
  <c r="X7" i="1" s="1"/>
  <c r="U8" i="1"/>
  <c r="V8" i="1" s="1"/>
  <c r="W8" i="1" s="1"/>
  <c r="X8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2" i="1"/>
  <c r="V12" i="1" s="1"/>
  <c r="W12" i="1" s="1"/>
  <c r="X12" i="1" s="1"/>
  <c r="U13" i="1"/>
  <c r="V13" i="1" s="1"/>
  <c r="W13" i="1" s="1"/>
  <c r="X13" i="1" s="1"/>
  <c r="U14" i="1"/>
  <c r="V14" i="1" s="1"/>
  <c r="W14" i="1" s="1"/>
  <c r="X14" i="1" s="1"/>
  <c r="U15" i="1"/>
  <c r="V15" i="1" s="1"/>
  <c r="W15" i="1" s="1"/>
  <c r="X15" i="1" s="1"/>
  <c r="U16" i="1"/>
  <c r="V16" i="1" s="1"/>
  <c r="W16" i="1" s="1"/>
  <c r="X16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0" i="1"/>
  <c r="V20" i="1" s="1"/>
  <c r="W20" i="1" s="1"/>
  <c r="X20" i="1" s="1"/>
  <c r="U21" i="1"/>
  <c r="V21" i="1" s="1"/>
  <c r="W21" i="1" s="1"/>
  <c r="X21" i="1" s="1"/>
  <c r="U22" i="1"/>
  <c r="V22" i="1" s="1"/>
  <c r="W22" i="1" s="1"/>
  <c r="X22" i="1" s="1"/>
  <c r="U23" i="1"/>
  <c r="V23" i="1" s="1"/>
  <c r="W23" i="1" s="1"/>
  <c r="X23" i="1" s="1"/>
  <c r="U24" i="1"/>
  <c r="V24" i="1" s="1"/>
  <c r="W24" i="1" s="1"/>
  <c r="X24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8" i="1"/>
  <c r="V28" i="1" s="1"/>
  <c r="W28" i="1" s="1"/>
  <c r="X28" i="1" s="1"/>
  <c r="U29" i="1"/>
  <c r="V29" i="1" s="1"/>
  <c r="W29" i="1" s="1"/>
  <c r="X29" i="1" s="1"/>
  <c r="U30" i="1"/>
  <c r="V30" i="1" s="1"/>
  <c r="W30" i="1" s="1"/>
  <c r="X30" i="1" s="1"/>
  <c r="U31" i="1"/>
  <c r="V31" i="1" s="1"/>
  <c r="W31" i="1" s="1"/>
  <c r="X31" i="1" s="1"/>
  <c r="U32" i="1"/>
  <c r="V32" i="1" s="1"/>
  <c r="W32" i="1" s="1"/>
  <c r="X32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6" i="1"/>
  <c r="V36" i="1" s="1"/>
  <c r="W36" i="1" s="1"/>
  <c r="X36" i="1" s="1"/>
  <c r="U37" i="1"/>
  <c r="V37" i="1" s="1"/>
  <c r="W37" i="1" s="1"/>
  <c r="X37" i="1" s="1"/>
  <c r="U38" i="1"/>
  <c r="V38" i="1" s="1"/>
  <c r="W38" i="1" s="1"/>
  <c r="X3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<sst xmlns="http://schemas.openxmlformats.org/spreadsheetml/2006/main" count="103" uniqueCount="53">
  <si>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</si>
  <si>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</si>
  <si>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</si>
  <si>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</si>
  <si>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</si>
  <si>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</si>
  <si>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</si>
  <si>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</si>
  <si>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</si>
  <si>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</si>
  <si>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</si>
  <si>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</si>
  <si>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</si>
  <si>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</si>
  <si>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</si>
  <si>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</si>
  <si>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</si>
  <si>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</si>
  <si>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</si>
  <si>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</si>
  <si>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</si>
  <si>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</si>
  <si>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</si>
  <si>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</si>
  <si>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</si>
  <si>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</si>
  <si>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</si>
  <si>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</si>
  <si>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</si>
  <si>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</si>
  <si>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</si>
  <si>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</si>
  <si>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</si>
  <si>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EL SUR</t>
  </si>
  <si>
    <t>DON FAUSTINO</t>
  </si>
  <si>
    <t>Delta Transit</t>
  </si>
  <si>
    <t>DON CRUZ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</si>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</sst>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5" totalsRowShown="0" headerRowDxfId="7" headerRowBorderDxfId="6" totalsRowBorderDxfId="5">
  <autoFilter ref="A1:E15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opLeftCell="F1" workbookViewId="0">
      <selection activeCell="M2" sqref="M2"/>
    </sheetView>
  </sheetViews>
  <sheetFormatPr defaultRowHeight="15"/>
  <cols>
    <col min="1" max="1" width="15.42578125" bestFit="1" customWidth="1"/>
    <col min="2" max="2" width="22.42578125" customWidth="1"/>
    <col min="3" max="3" width="48.85546875" customWidth="1"/>
    <col min="4" max="4" width="18.140625" customWidth="1"/>
    <col min="5" max="5" width="18.7109375" customWidth="1"/>
    <col min="6" max="6" width="16.28515625" bestFit="1" customWidth="1"/>
    <col min="7" max="7" width="17.140625" style="2" bestFit="1" customWidth="1"/>
    <col min="8" max="8" width="15.140625" style="2" bestFit="1" customWidth="1"/>
    <col min="9" max="9" width="12" bestFit="1" customWidth="1"/>
    <col min="10" max="10" width="11.7109375" bestFit="1" customWidth="1"/>
    <col min="11" max="12" width="13.5703125" bestFit="1" customWidth="1"/>
    <col min="13" max="13" width="14.28515625" bestFit="1" customWidth="1"/>
    <col min="14" max="14" width="21.7109375" bestFit="1" customWidth="1"/>
    <col min="15" max="15" width="16" bestFit="1" customWidth="1"/>
    <col min="16" max="16" width="20.85546875" bestFit="1" customWidth="1"/>
    <col min="17" max="17" width="32" bestFit="1" customWidth="1"/>
    <col min="18" max="18" width="32" customWidth="1"/>
    <col min="19" max="19" width="28" bestFit="1" customWidth="1"/>
    <col min="20" max="20" width="20.140625" bestFit="1" customWidth="1"/>
    <col min="21" max="21" width="16.85546875" bestFit="1" customWidth="1"/>
    <col min="22" max="22" width="15.7109375" bestFit="1" customWidth="1"/>
    <col min="23" max="23" width="21.85546875" bestFit="1" customWidth="1"/>
    <col min="24" max="24" width="17.140625" customWidth="1"/>
  </cols>
  <sheetData>
    <row r="1" spans="1:24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>IF(A2&lt;&gt;"",IF(A2="Entrée",0.366,0.228),"")</f>
        <v>0.36599999999999999</v>
      </c>
      <c r="P2">
        <f t="shared" ref="P2:P38" si="2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aca="1" ref="R2" ca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>IF(E2&lt;&gt;"",0,"")</f>
        <v>0</v>
      </c>
      <c r="T2">
        <f>IF(AND(E2&lt;&gt;"",A2="Entrée"),65,"")</f>
        <v>65</v>
      </c>
      <c r="U2">
        <f t="shared" ref="U2:U38" si="3">IF(AND(P2&lt;&gt;"",Q2&lt;&gt;""),ROUNDUP(P2*(1+Q2),2),"")</f>
        <v>16.84</v>
      </c>
      <c r="V2">
        <f t="shared" ref="V2:V38" si="4">IF(U2&lt;&gt;"",U2+T2,"")</f>
        <v>81.84</v>
      </c>
      <c r="W2">
        <f t="shared" ref="W2:W38" si="5">IF(V2&lt;&gt;"",IF(V2&lt;9,0,IF(V2&lt;=16,16,V2)),"")</f>
        <v>81.84</v>
      </c>
      <c r="X2">
        <f t="shared" ref="X2:X38" si="6">IF(W2&lt;&gt;"",W2,"")</f>
        <v>81.84</v>
      </c>
    </row>
    <row r="3" spans="1:24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>IF(A3&lt;&gt;"",IF(A3="Entrée",0.366,0.228),"")</f>
        <v/>
      </c>
      <c r="P3" t="str">
        <f t="shared" si="2"/>
        <v/>
      </c>
      <c r="Q3" t="str">
        <f t="shared" ref="Q3:Q38" si="7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>IF(E3&lt;&gt;"",0,"")</f>
        <v/>
      </c>
      <c r="T3" t="str">
        <f>IF(AND(E3&lt;&gt;"",A3="Entrée"),65,"")</f>
        <v/>
      </c>
      <c r="U3" t="str">
        <f t="shared" si="3"/>
        <v/>
      </c>
      <c r="V3" t="str">
        <f t="shared" si="4"/>
        <v/>
      </c>
      <c r="W3" t="str">
        <f t="shared" si="5"/>
        <v/>
      </c>
      <c r="X3" t="str">
        <f t="shared" si="6"/>
        <v/>
      </c>
    </row>
    <row r="4" spans="1:24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>IF(A4&lt;&gt;"",IF(A4="Entrée",0.366,0.228),"")</f>
        <v/>
      </c>
      <c r="P4" t="str">
        <f t="shared" si="2"/>
        <v/>
      </c>
      <c r="Q4" t="str">
        <f t="shared" si="7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>IF(E4&lt;&gt;"",0,"")</f>
        <v/>
      </c>
      <c r="T4" t="str">
        <f>IF(AND(E4&lt;&gt;"",A4="Entrée"),65,"")</f>
        <v/>
      </c>
      <c r="U4" t="str">
        <f t="shared" si="3"/>
        <v/>
      </c>
      <c r="V4" t="str">
        <f t="shared" si="4"/>
        <v/>
      </c>
      <c r="W4" t="str">
        <f t="shared" si="5"/>
        <v/>
      </c>
      <c r="X4" t="str">
        <f t="shared" si="6"/>
        <v/>
      </c>
    </row>
    <row r="5" spans="1:24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>IF(A5&lt;&gt;"",IF(A5="Entrée",0.366,0.228),"")</f>
        <v/>
      </c>
      <c r="P5" t="str">
        <f t="shared" si="2"/>
        <v/>
      </c>
      <c r="Q5" t="str">
        <f t="shared" si="7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>IF(E5&lt;&gt;"",0,"")</f>
        <v/>
      </c>
      <c r="T5" t="str">
        <f>IF(AND(E5&lt;&gt;"",A5="Entrée"),65,"")</f>
        <v/>
      </c>
      <c r="U5" t="str">
        <f t="shared" si="3"/>
        <v/>
      </c>
      <c r="V5" t="str">
        <f t="shared" si="4"/>
        <v/>
      </c>
      <c r="W5" t="str">
        <f t="shared" si="5"/>
        <v/>
      </c>
      <c r="X5" t="str">
        <f t="shared" si="6"/>
        <v/>
      </c>
    </row>
    <row r="6" spans="1:24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>IF(A6&lt;&gt;"",IF(A6="Entrée",0.366,0.228),"")</f>
        <v/>
      </c>
      <c r="P6" t="str">
        <f t="shared" si="2"/>
        <v/>
      </c>
      <c r="Q6" t="str">
        <f t="shared" si="7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>IF(E6&lt;&gt;"",0,"")</f>
        <v/>
      </c>
      <c r="T6" t="str">
        <f>IF(AND(E6&lt;&gt;"",A6="Entrée"),65,"")</f>
        <v/>
      </c>
      <c r="U6" t="str">
        <f t="shared" si="3"/>
        <v/>
      </c>
      <c r="V6" t="str">
        <f t="shared" si="4"/>
        <v/>
      </c>
      <c r="W6" t="str">
        <f t="shared" si="5"/>
        <v/>
      </c>
      <c r="X6" t="str">
        <f t="shared" si="6"/>
        <v/>
      </c>
    </row>
    <row r="7" spans="1:24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>IF(A7&lt;&gt;"",IF(A7="Entrée",0.366,0.228),"")</f>
        <v/>
      </c>
      <c r="P7" t="str">
        <f t="shared" si="2"/>
        <v/>
      </c>
      <c r="Q7" t="str">
        <f t="shared" si="7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>IF(E7&lt;&gt;"",0,"")</f>
        <v/>
      </c>
      <c r="T7" t="str">
        <f>IF(AND(E7&lt;&gt;"",A7="Entrée"),65,"")</f>
        <v/>
      </c>
      <c r="U7" t="str">
        <f t="shared" si="3"/>
        <v/>
      </c>
      <c r="V7" t="str">
        <f t="shared" si="4"/>
        <v/>
      </c>
      <c r="W7" t="str">
        <f t="shared" si="5"/>
        <v/>
      </c>
      <c r="X7" t="str">
        <f t="shared" si="6"/>
        <v/>
      </c>
    </row>
    <row r="8" spans="1:24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>IF(A8&lt;&gt;"",IF(A8="Entrée",0.366,0.228),"")</f>
        <v/>
      </c>
      <c r="P8" t="str">
        <f t="shared" si="2"/>
        <v/>
      </c>
      <c r="Q8" t="str">
        <f t="shared" si="7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>IF(E8&lt;&gt;"",0,"")</f>
        <v/>
      </c>
      <c r="T8" t="str">
        <f>IF(AND(E8&lt;&gt;"",A8="Entrée"),65,"")</f>
        <v/>
      </c>
      <c r="U8" t="str">
        <f t="shared" si="3"/>
        <v/>
      </c>
      <c r="V8" t="str">
        <f t="shared" si="4"/>
        <v/>
      </c>
      <c r="W8" t="str">
        <f t="shared" si="5"/>
        <v/>
      </c>
      <c r="X8" t="str">
        <f t="shared" si="6"/>
        <v/>
      </c>
    </row>
    <row r="9" spans="1:24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>IF(A9&lt;&gt;"",IF(A9="Entrée",0.366,0.228),"")</f>
        <v/>
      </c>
      <c r="P9" t="str">
        <f t="shared" si="2"/>
        <v/>
      </c>
      <c r="Q9" t="str">
        <f t="shared" si="7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>IF(E9&lt;&gt;"",0,"")</f>
        <v/>
      </c>
      <c r="T9" t="str">
        <f>IF(AND(E9&lt;&gt;"",A9="Entrée"),65,"")</f>
        <v/>
      </c>
      <c r="U9" t="str">
        <f t="shared" si="3"/>
        <v/>
      </c>
      <c r="V9" t="str">
        <f t="shared" si="4"/>
        <v/>
      </c>
      <c r="W9" t="str">
        <f t="shared" si="5"/>
        <v/>
      </c>
      <c r="X9" t="str">
        <f t="shared" si="6"/>
        <v/>
      </c>
    </row>
    <row r="10" spans="1:24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>IF(A10&lt;&gt;"",IF(A10="Entrée",0.366,0.228),"")</f>
        <v/>
      </c>
      <c r="P10" t="str">
        <f t="shared" si="2"/>
        <v/>
      </c>
      <c r="Q10" t="str">
        <f t="shared" si="7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>IF(E10&lt;&gt;"",0,"")</f>
        <v/>
      </c>
      <c r="T10" t="str">
        <f>IF(AND(E10&lt;&gt;"",A10="Entrée"),65,"")</f>
        <v/>
      </c>
      <c r="U10" t="str">
        <f t="shared" si="3"/>
        <v/>
      </c>
      <c r="V10" t="str">
        <f t="shared" si="4"/>
        <v/>
      </c>
      <c r="W10" t="str">
        <f t="shared" si="5"/>
        <v/>
      </c>
      <c r="X10" t="str">
        <f t="shared" si="6"/>
        <v/>
      </c>
    </row>
    <row r="11" spans="1:24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>IF(A11&lt;&gt;"",IF(A11="Entrée",0.366,0.228),"")</f>
        <v/>
      </c>
      <c r="P11" t="str">
        <f t="shared" si="2"/>
        <v/>
      </c>
      <c r="Q11" t="str">
        <f t="shared" si="7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>IF(E11&lt;&gt;"",0,"")</f>
        <v/>
      </c>
      <c r="T11" t="str">
        <f>IF(AND(E11&lt;&gt;"",A11="Entrée"),65,"")</f>
        <v/>
      </c>
      <c r="U11" t="str">
        <f t="shared" si="3"/>
        <v/>
      </c>
      <c r="V11" t="str">
        <f t="shared" si="4"/>
        <v/>
      </c>
      <c r="W11" t="str">
        <f t="shared" si="5"/>
        <v/>
      </c>
      <c r="X11" t="str">
        <f t="shared" si="6"/>
        <v/>
      </c>
    </row>
    <row r="12" spans="1:24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>IF(A12&lt;&gt;"",IF(A12="Entrée",0.366,0.228),"")</f>
        <v/>
      </c>
      <c r="P12" t="str">
        <f t="shared" si="2"/>
        <v/>
      </c>
      <c r="Q12" t="str">
        <f t="shared" si="7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>IF(E12&lt;&gt;"",0,"")</f>
        <v/>
      </c>
      <c r="T12" t="str">
        <f>IF(AND(E12&lt;&gt;"",A12="Entrée"),65,"")</f>
        <v/>
      </c>
      <c r="U12" t="str">
        <f t="shared" si="3"/>
        <v/>
      </c>
      <c r="V12" t="str">
        <f t="shared" si="4"/>
        <v/>
      </c>
      <c r="W12" t="str">
        <f t="shared" si="5"/>
        <v/>
      </c>
      <c r="X12" t="str">
        <f t="shared" si="6"/>
        <v/>
      </c>
    </row>
    <row r="13" spans="1:24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>IF(A13&lt;&gt;"",IF(A13="Entrée",0.366,0.228),"")</f>
        <v/>
      </c>
      <c r="P13" t="str">
        <f t="shared" si="2"/>
        <v/>
      </c>
      <c r="Q13" t="str">
        <f t="shared" si="7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>IF(E13&lt;&gt;"",0,"")</f>
        <v/>
      </c>
      <c r="T13" t="str">
        <f>IF(AND(E13&lt;&gt;"",A13="Entrée"),65,"")</f>
        <v/>
      </c>
      <c r="U13" t="str">
        <f t="shared" si="3"/>
        <v/>
      </c>
      <c r="V13" t="str">
        <f t="shared" si="4"/>
        <v/>
      </c>
      <c r="W13" t="str">
        <f t="shared" si="5"/>
        <v/>
      </c>
      <c r="X13" t="str">
        <f t="shared" si="6"/>
        <v/>
      </c>
    </row>
    <row r="14" spans="1:24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>IF(A14&lt;&gt;"",IF(A14="Entrée",0.366,0.228),"")</f>
        <v/>
      </c>
      <c r="P14" t="str">
        <f t="shared" si="2"/>
        <v/>
      </c>
      <c r="Q14" t="str">
        <f t="shared" si="7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>IF(E14&lt;&gt;"",0,"")</f>
        <v/>
      </c>
      <c r="T14" t="str">
        <f>IF(AND(E14&lt;&gt;"",A14="Entrée"),65,"")</f>
        <v/>
      </c>
      <c r="U14" t="str">
        <f t="shared" si="3"/>
        <v/>
      </c>
      <c r="V14" t="str">
        <f t="shared" si="4"/>
        <v/>
      </c>
      <c r="W14" t="str">
        <f t="shared" si="5"/>
        <v/>
      </c>
      <c r="X14" t="str">
        <f t="shared" si="6"/>
        <v/>
      </c>
    </row>
    <row r="15" spans="1:24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>IF(A15&lt;&gt;"",IF(A15="Entrée",0.366,0.228),"")</f>
        <v/>
      </c>
      <c r="P15" t="str">
        <f t="shared" si="2"/>
        <v/>
      </c>
      <c r="Q15" t="str">
        <f t="shared" si="7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>IF(E15&lt;&gt;"",0,"")</f>
        <v/>
      </c>
      <c r="T15" t="str">
        <f>IF(AND(E15&lt;&gt;"",A15="Entrée"),65,"")</f>
        <v/>
      </c>
      <c r="U15" t="str">
        <f t="shared" si="3"/>
        <v/>
      </c>
      <c r="V15" t="str">
        <f t="shared" si="4"/>
        <v/>
      </c>
      <c r="W15" t="str">
        <f t="shared" si="5"/>
        <v/>
      </c>
      <c r="X15" t="str">
        <f t="shared" si="6"/>
        <v/>
      </c>
    </row>
    <row r="16" spans="1:24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>IF(A16&lt;&gt;"",IF(A16="Entrée",0.366,0.228),"")</f>
        <v/>
      </c>
      <c r="P16" t="str">
        <f t="shared" si="2"/>
        <v/>
      </c>
      <c r="Q16" t="str">
        <f t="shared" si="7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>IF(E16&lt;&gt;"",0,"")</f>
        <v/>
      </c>
      <c r="T16" t="str">
        <f>IF(AND(E16&lt;&gt;"",A16="Entrée"),65,"")</f>
        <v/>
      </c>
      <c r="U16" t="str">
        <f t="shared" si="3"/>
        <v/>
      </c>
      <c r="V16" t="str">
        <f t="shared" si="4"/>
        <v/>
      </c>
      <c r="W16" t="str">
        <f t="shared" si="5"/>
        <v/>
      </c>
      <c r="X16" t="str">
        <f t="shared" si="6"/>
        <v/>
      </c>
    </row>
    <row r="17" spans="3:24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>IF(A17&lt;&gt;"",IF(A17="Entrée",0.366,0.228),"")</f>
        <v/>
      </c>
      <c r="P17" t="str">
        <f t="shared" si="2"/>
        <v/>
      </c>
      <c r="Q17" t="str">
        <f t="shared" si="7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>IF(E17&lt;&gt;"",0,"")</f>
        <v/>
      </c>
      <c r="T17" t="str">
        <f>IF(AND(E17&lt;&gt;"",A17="Entrée"),65,"")</f>
        <v/>
      </c>
      <c r="U17" t="str">
        <f t="shared" si="3"/>
        <v/>
      </c>
      <c r="V17" t="str">
        <f t="shared" si="4"/>
        <v/>
      </c>
      <c r="W17" t="str">
        <f t="shared" si="5"/>
        <v/>
      </c>
      <c r="X17" t="str">
        <f t="shared" si="6"/>
        <v/>
      </c>
    </row>
    <row r="18" spans="3:24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>IF(A18&lt;&gt;"",IF(A18="Entrée",0.366,0.228),"")</f>
        <v/>
      </c>
      <c r="P18" t="str">
        <f t="shared" si="2"/>
        <v/>
      </c>
      <c r="Q18" t="str">
        <f t="shared" si="7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>IF(E18&lt;&gt;"",0,"")</f>
        <v/>
      </c>
      <c r="T18" t="str">
        <f>IF(AND(E18&lt;&gt;"",A18="Entrée"),65,"")</f>
        <v/>
      </c>
      <c r="U18" t="str">
        <f t="shared" si="3"/>
        <v/>
      </c>
      <c r="V18" t="str">
        <f t="shared" si="4"/>
        <v/>
      </c>
      <c r="W18" t="str">
        <f t="shared" si="5"/>
        <v/>
      </c>
      <c r="X18" t="str">
        <f t="shared" si="6"/>
        <v/>
      </c>
    </row>
    <row r="19" spans="3:24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>IF(A19&lt;&gt;"",IF(A19="Entrée",0.366,0.228),"")</f>
        <v/>
      </c>
      <c r="P19" t="str">
        <f t="shared" si="2"/>
        <v/>
      </c>
      <c r="Q19" t="str">
        <f t="shared" si="7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>IF(E19&lt;&gt;"",0,"")</f>
        <v/>
      </c>
      <c r="T19" t="str">
        <f>IF(AND(E19&lt;&gt;"",A19="Entrée"),65,"")</f>
        <v/>
      </c>
      <c r="U19" t="str">
        <f t="shared" si="3"/>
        <v/>
      </c>
      <c r="V19" t="str">
        <f t="shared" si="4"/>
        <v/>
      </c>
      <c r="W19" t="str">
        <f t="shared" si="5"/>
        <v/>
      </c>
      <c r="X19" t="str">
        <f t="shared" si="6"/>
        <v/>
      </c>
    </row>
    <row r="20" spans="3:24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>IF(A20&lt;&gt;"",IF(A20="Entrée",0.366,0.228),"")</f>
        <v/>
      </c>
      <c r="P20" t="str">
        <f t="shared" si="2"/>
        <v/>
      </c>
      <c r="Q20" t="str">
        <f t="shared" si="7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>IF(E20&lt;&gt;"",0,"")</f>
        <v/>
      </c>
      <c r="T20" t="str">
        <f>IF(AND(E20&lt;&gt;"",A20="Entrée"),65,"")</f>
        <v/>
      </c>
      <c r="U20" t="str">
        <f t="shared" si="3"/>
        <v/>
      </c>
      <c r="V20" t="str">
        <f t="shared" si="4"/>
        <v/>
      </c>
      <c r="W20" t="str">
        <f t="shared" si="5"/>
        <v/>
      </c>
      <c r="X20" t="str">
        <f t="shared" si="6"/>
        <v/>
      </c>
    </row>
    <row r="21" spans="3:24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>IF(A21&lt;&gt;"",IF(A21="Entrée",0.366,0.228),"")</f>
        <v/>
      </c>
      <c r="P21" t="str">
        <f t="shared" si="2"/>
        <v/>
      </c>
      <c r="Q21" t="str">
        <f t="shared" si="7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>IF(E21&lt;&gt;"",0,"")</f>
        <v/>
      </c>
      <c r="T21" t="str">
        <f>IF(AND(E21&lt;&gt;"",A21="Entrée"),65,"")</f>
        <v/>
      </c>
      <c r="U21" t="str">
        <f t="shared" si="3"/>
        <v/>
      </c>
      <c r="V21" t="str">
        <f t="shared" si="4"/>
        <v/>
      </c>
      <c r="W21" t="str">
        <f t="shared" si="5"/>
        <v/>
      </c>
      <c r="X21" t="str">
        <f t="shared" si="6"/>
        <v/>
      </c>
    </row>
    <row r="22" spans="3:24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>IF(A22&lt;&gt;"",IF(A22="Entrée",0.366,0.228),"")</f>
        <v/>
      </c>
      <c r="P22" t="str">
        <f t="shared" si="2"/>
        <v/>
      </c>
      <c r="Q22" t="str">
        <f t="shared" si="7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>IF(E22&lt;&gt;"",0,"")</f>
        <v/>
      </c>
      <c r="T22" t="str">
        <f>IF(AND(E22&lt;&gt;"",A22="Entrée"),65,"")</f>
        <v/>
      </c>
      <c r="U22" t="str">
        <f t="shared" si="3"/>
        <v/>
      </c>
      <c r="V22" t="str">
        <f t="shared" si="4"/>
        <v/>
      </c>
      <c r="W22" t="str">
        <f t="shared" si="5"/>
        <v/>
      </c>
      <c r="X22" t="str">
        <f t="shared" si="6"/>
        <v/>
      </c>
    </row>
    <row r="23" spans="3:24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>IF(A23&lt;&gt;"",IF(A23="Entrée",0.366,0.228),"")</f>
        <v/>
      </c>
      <c r="P23" t="str">
        <f t="shared" si="2"/>
        <v/>
      </c>
      <c r="Q23" t="str">
        <f t="shared" si="7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>IF(E23&lt;&gt;"",0,"")</f>
        <v/>
      </c>
      <c r="T23" t="str">
        <f>IF(AND(E23&lt;&gt;"",A23="Entrée"),65,"")</f>
        <v/>
      </c>
      <c r="U23" t="str">
        <f t="shared" si="3"/>
        <v/>
      </c>
      <c r="V23" t="str">
        <f t="shared" si="4"/>
        <v/>
      </c>
      <c r="W23" t="str">
        <f t="shared" si="5"/>
        <v/>
      </c>
      <c r="X23" t="str">
        <f t="shared" si="6"/>
        <v/>
      </c>
    </row>
    <row r="24" spans="3:24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>IF(A24&lt;&gt;"",IF(A24="Entrée",0.366,0.228),"")</f>
        <v/>
      </c>
      <c r="P24" t="str">
        <f t="shared" si="2"/>
        <v/>
      </c>
      <c r="Q24" t="str">
        <f t="shared" si="7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>IF(E24&lt;&gt;"",0,"")</f>
        <v/>
      </c>
      <c r="T24" t="str">
        <f>IF(AND(E24&lt;&gt;"",A24="Entrée"),65,"")</f>
        <v/>
      </c>
      <c r="U24" t="str">
        <f t="shared" si="3"/>
        <v/>
      </c>
      <c r="V24" t="str">
        <f t="shared" si="4"/>
        <v/>
      </c>
      <c r="W24" t="str">
        <f t="shared" si="5"/>
        <v/>
      </c>
      <c r="X24" t="str">
        <f t="shared" si="6"/>
        <v/>
      </c>
    </row>
    <row r="25" spans="3:24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>IF(A25&lt;&gt;"",IF(A25="Entrée",0.366,0.228),"")</f>
        <v/>
      </c>
      <c r="P25" t="str">
        <f t="shared" si="2"/>
        <v/>
      </c>
      <c r="Q25" t="str">
        <f t="shared" si="7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>IF(E25&lt;&gt;"",0,"")</f>
        <v/>
      </c>
      <c r="T25" t="str">
        <f>IF(AND(E25&lt;&gt;"",A25="Entrée"),65,"")</f>
        <v/>
      </c>
      <c r="U25" t="str">
        <f t="shared" si="3"/>
        <v/>
      </c>
      <c r="V25" t="str">
        <f t="shared" si="4"/>
        <v/>
      </c>
      <c r="W25" t="str">
        <f t="shared" si="5"/>
        <v/>
      </c>
      <c r="X25" t="str">
        <f t="shared" si="6"/>
        <v/>
      </c>
    </row>
    <row r="26" spans="3:24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>IF(A26&lt;&gt;"",IF(A26="Entrée",0.366,0.228),"")</f>
        <v/>
      </c>
      <c r="P26" t="str">
        <f t="shared" si="2"/>
        <v/>
      </c>
      <c r="Q26" t="str">
        <f t="shared" si="7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>IF(E26&lt;&gt;"",0,"")</f>
        <v/>
      </c>
      <c r="T26" t="str">
        <f>IF(AND(E26&lt;&gt;"",A26="Entrée"),65,"")</f>
        <v/>
      </c>
      <c r="U26" t="str">
        <f t="shared" si="3"/>
        <v/>
      </c>
      <c r="V26" t="str">
        <f t="shared" si="4"/>
        <v/>
      </c>
      <c r="W26" t="str">
        <f t="shared" si="5"/>
        <v/>
      </c>
      <c r="X26" t="str">
        <f t="shared" si="6"/>
        <v/>
      </c>
    </row>
    <row r="27" spans="3:24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>IF(A27&lt;&gt;"",IF(A27="Entrée",0.366,0.228),"")</f>
        <v/>
      </c>
      <c r="P27" t="str">
        <f t="shared" si="2"/>
        <v/>
      </c>
      <c r="Q27" t="str">
        <f t="shared" si="7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>IF(E27&lt;&gt;"",0,"")</f>
        <v/>
      </c>
      <c r="T27" t="str">
        <f>IF(AND(E27&lt;&gt;"",A27="Entrée"),65,"")</f>
        <v/>
      </c>
      <c r="U27" t="str">
        <f t="shared" si="3"/>
        <v/>
      </c>
      <c r="V27" t="str">
        <f t="shared" si="4"/>
        <v/>
      </c>
      <c r="W27" t="str">
        <f t="shared" si="5"/>
        <v/>
      </c>
      <c r="X27" t="str">
        <f t="shared" si="6"/>
        <v/>
      </c>
    </row>
    <row r="28" spans="3:24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>IF(A28&lt;&gt;"",IF(A28="Entrée",0.366,0.228),"")</f>
        <v/>
      </c>
      <c r="P28" t="str">
        <f t="shared" si="2"/>
        <v/>
      </c>
      <c r="Q28" t="str">
        <f t="shared" si="7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>IF(E28&lt;&gt;"",0,"")</f>
        <v/>
      </c>
      <c r="T28" t="str">
        <f>IF(AND(E28&lt;&gt;"",A28="Entrée"),65,"")</f>
        <v/>
      </c>
      <c r="U28" t="str">
        <f t="shared" si="3"/>
        <v/>
      </c>
      <c r="V28" t="str">
        <f t="shared" si="4"/>
        <v/>
      </c>
      <c r="W28" t="str">
        <f t="shared" si="5"/>
        <v/>
      </c>
      <c r="X28" t="str">
        <f t="shared" si="6"/>
        <v/>
      </c>
    </row>
    <row r="29" spans="3:24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>IF(A29&lt;&gt;"",IF(A29="Entrée",0.366,0.228),"")</f>
        <v/>
      </c>
      <c r="P29" t="str">
        <f t="shared" si="2"/>
        <v/>
      </c>
      <c r="Q29" t="str">
        <f t="shared" si="7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>IF(E29&lt;&gt;"",0,"")</f>
        <v/>
      </c>
      <c r="T29" t="str">
        <f>IF(AND(E29&lt;&gt;"",A29="Entrée"),65,"")</f>
        <v/>
      </c>
      <c r="U29" t="str">
        <f t="shared" si="3"/>
        <v/>
      </c>
      <c r="V29" t="str">
        <f t="shared" si="4"/>
        <v/>
      </c>
      <c r="W29" t="str">
        <f t="shared" si="5"/>
        <v/>
      </c>
      <c r="X29" t="str">
        <f t="shared" si="6"/>
        <v/>
      </c>
    </row>
    <row r="30" spans="3:24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>IF(A30&lt;&gt;"",IF(A30="Entrée",0.366,0.228),"")</f>
        <v/>
      </c>
      <c r="P30" t="str">
        <f t="shared" si="2"/>
        <v/>
      </c>
      <c r="Q30" t="str">
        <f t="shared" si="7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>IF(E30&lt;&gt;"",0,"")</f>
        <v/>
      </c>
      <c r="T30" t="str">
        <f>IF(AND(E30&lt;&gt;"",A30="Entrée"),65,"")</f>
        <v/>
      </c>
      <c r="U30" t="str">
        <f t="shared" si="3"/>
        <v/>
      </c>
      <c r="V30" t="str">
        <f t="shared" si="4"/>
        <v/>
      </c>
      <c r="W30" t="str">
        <f t="shared" si="5"/>
        <v/>
      </c>
      <c r="X30" t="str">
        <f t="shared" si="6"/>
        <v/>
      </c>
    </row>
    <row r="31" spans="3:24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>IF(A31&lt;&gt;"",IF(A31="Entrée",0.366,0.228),"")</f>
        <v/>
      </c>
      <c r="P31" t="str">
        <f t="shared" si="2"/>
        <v/>
      </c>
      <c r="Q31" t="str">
        <f t="shared" si="7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>IF(E31&lt;&gt;"",0,"")</f>
        <v/>
      </c>
      <c r="T31" t="str">
        <f>IF(AND(E31&lt;&gt;"",A31="Entrée"),65,"")</f>
        <v/>
      </c>
      <c r="U31" t="str">
        <f t="shared" si="3"/>
        <v/>
      </c>
      <c r="V31" t="str">
        <f t="shared" si="4"/>
        <v/>
      </c>
      <c r="W31" t="str">
        <f t="shared" si="5"/>
        <v/>
      </c>
      <c r="X31" t="str">
        <f t="shared" si="6"/>
        <v/>
      </c>
    </row>
    <row r="32" spans="3:24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>IF(A32&lt;&gt;"",IF(A32="Entrée",0.366,0.228),"")</f>
        <v/>
      </c>
      <c r="P32" t="str">
        <f t="shared" si="2"/>
        <v/>
      </c>
      <c r="Q32" t="str">
        <f t="shared" si="7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>IF(E32&lt;&gt;"",0,"")</f>
        <v/>
      </c>
      <c r="T32" t="str">
        <f>IF(AND(E32&lt;&gt;"",A32="Entrée"),65,"")</f>
        <v/>
      </c>
      <c r="U32" t="str">
        <f t="shared" si="3"/>
        <v/>
      </c>
      <c r="V32" t="str">
        <f t="shared" si="4"/>
        <v/>
      </c>
      <c r="W32" t="str">
        <f t="shared" si="5"/>
        <v/>
      </c>
      <c r="X32" t="str">
        <f t="shared" si="6"/>
        <v/>
      </c>
    </row>
    <row r="33" spans="3:24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>IF(A33&lt;&gt;"",IF(A33="Entrée",0.366,0.228),"")</f>
        <v/>
      </c>
      <c r="P33" t="str">
        <f t="shared" si="2"/>
        <v/>
      </c>
      <c r="Q33" t="str">
        <f t="shared" si="7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>IF(E33&lt;&gt;"",0,"")</f>
        <v/>
      </c>
      <c r="T33" t="str">
        <f>IF(AND(E33&lt;&gt;"",A33="Entrée"),65,"")</f>
        <v/>
      </c>
      <c r="U33" t="str">
        <f t="shared" si="3"/>
        <v/>
      </c>
      <c r="V33" t="str">
        <f t="shared" si="4"/>
        <v/>
      </c>
      <c r="W33" t="str">
        <f t="shared" si="5"/>
        <v/>
      </c>
      <c r="X33" t="str">
        <f t="shared" si="6"/>
        <v/>
      </c>
    </row>
    <row r="34" spans="3:24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>IF(A34&lt;&gt;"",IF(A34="Entrée",0.366,0.228),"")</f>
        <v/>
      </c>
      <c r="P34" t="str">
        <f t="shared" si="2"/>
        <v/>
      </c>
      <c r="Q34" t="str">
        <f t="shared" si="7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>IF(E34&lt;&gt;"",0,"")</f>
        <v/>
      </c>
      <c r="T34" t="str">
        <f>IF(AND(E34&lt;&gt;"",A34="Entrée"),65,"")</f>
        <v/>
      </c>
      <c r="U34" t="str">
        <f t="shared" si="3"/>
        <v/>
      </c>
      <c r="V34" t="str">
        <f t="shared" si="4"/>
        <v/>
      </c>
      <c r="W34" t="str">
        <f t="shared" si="5"/>
        <v/>
      </c>
      <c r="X34" t="str">
        <f t="shared" si="6"/>
        <v/>
      </c>
    </row>
    <row r="35" spans="3:24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>IF(A35&lt;&gt;"",IF(A35="Entrée",0.366,0.228),"")</f>
        <v/>
      </c>
      <c r="P35" t="str">
        <f t="shared" si="2"/>
        <v/>
      </c>
      <c r="Q35" t="str">
        <f t="shared" si="7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>IF(E35&lt;&gt;"",0,"")</f>
        <v/>
      </c>
      <c r="T35" t="str">
        <f>IF(AND(E35&lt;&gt;"",A35="Entrée"),65,"")</f>
        <v/>
      </c>
      <c r="U35" t="str">
        <f t="shared" si="3"/>
        <v/>
      </c>
      <c r="V35" t="str">
        <f t="shared" si="4"/>
        <v/>
      </c>
      <c r="W35" t="str">
        <f t="shared" si="5"/>
        <v/>
      </c>
      <c r="X35" t="str">
        <f t="shared" si="6"/>
        <v/>
      </c>
    </row>
    <row r="36" spans="3:24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>IF(A36&lt;&gt;"",IF(A36="Entrée",0.366,0.228),"")</f>
        <v/>
      </c>
      <c r="P36" t="str">
        <f t="shared" si="2"/>
        <v/>
      </c>
      <c r="Q36" t="str">
        <f t="shared" si="7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>IF(E36&lt;&gt;"",0,"")</f>
        <v/>
      </c>
      <c r="T36" t="str">
        <f>IF(AND(E36&lt;&gt;"",A36="Entrée"),65,"")</f>
        <v/>
      </c>
      <c r="U36" t="str">
        <f t="shared" si="3"/>
        <v/>
      </c>
      <c r="V36" t="str">
        <f t="shared" si="4"/>
        <v/>
      </c>
      <c r="W36" t="str">
        <f t="shared" si="5"/>
        <v/>
      </c>
      <c r="X36" t="str">
        <f t="shared" si="6"/>
        <v/>
      </c>
    </row>
    <row r="37" spans="3:24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>IF(A37&lt;&gt;"",IF(A37="Entrée",0.366,0.228),"")</f>
        <v/>
      </c>
      <c r="P37" t="str">
        <f t="shared" si="2"/>
        <v/>
      </c>
      <c r="Q37" t="str">
        <f t="shared" si="7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>IF(E37&lt;&gt;"",0,"")</f>
        <v/>
      </c>
      <c r="T37" t="str">
        <f>IF(AND(E37&lt;&gt;"",A37="Entrée"),65,"")</f>
        <v/>
      </c>
      <c r="U37" t="str">
        <f t="shared" si="3"/>
        <v/>
      </c>
      <c r="V37" t="str">
        <f t="shared" si="4"/>
        <v/>
      </c>
      <c r="W37" t="str">
        <f t="shared" si="5"/>
        <v/>
      </c>
      <c r="X37" t="str">
        <f t="shared" si="6"/>
        <v/>
      </c>
    </row>
    <row r="38" spans="3:24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>IF(A38&lt;&gt;"",IF(A38="Entrée",0.366,0.228),"")</f>
        <v/>
      </c>
      <c r="P38" t="str">
        <f t="shared" si="2"/>
        <v/>
      </c>
      <c r="Q38" t="str">
        <f t="shared" si="7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>IF(E38&lt;&gt;"",0,"")</f>
        <v/>
      </c>
      <c r="T38" t="str">
        <f>IF(AND(E38&lt;&gt;"",A38="Entrée"),65,"")</f>
        <v/>
      </c>
      <c r="U38" t="str">
        <f t="shared" si="3"/>
        <v/>
      </c>
      <c r="V38" t="str">
        <f t="shared" si="4"/>
        <v/>
      </c>
      <c r="W38" t="str">
        <f t="shared" si="5"/>
        <v/>
      </c>
      <c r="X38" t="str">
        <f t="shared" si="6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5"/>
  <sheetViews>
    <sheetView tabSelected="1" workbookViewId="0">
      <selection activeCell="A5" sqref="A5"/>
    </sheetView>
  </sheetViews>
  <sheetFormatPr defaultRowHeight="15"/>
  <cols>
    <col min="1" max="1" width="18.7109375" customWidth="1"/>
    <col min="2" max="2" width="22.7109375" customWidth="1"/>
    <col min="3" max="3" width="27.5703125" customWidth="1"/>
    <col min="4" max="4" width="26.42578125" customWidth="1"/>
    <col min="5" max="5" width="19.85546875" customWidth="1"/>
  </cols>
  <sheetData>
    <row r="1" spans="1:5" ht="18.75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>
      <c r="A3" s="7" t="s">
        <v>25</v>
      </c>
      <c r="B3" s="8" t="s">
        <v>33</v>
      </c>
      <c r="C3" s="8">
        <v>0</v>
      </c>
      <c r="D3" s="8">
        <v>0</v>
      </c>
      <c r="E3" s="8">
        <v>0</v>
      </c>
    </row>
    <row r="4" spans="1:5">
      <c r="A4" s="7" t="s">
        <v>25</v>
      </c>
      <c r="B4" s="8" t="s">
        <v>34</v>
      </c>
      <c r="C4" s="8">
        <v>14</v>
      </c>
      <c r="D4" s="8">
        <v>5.5</v>
      </c>
      <c r="E4" s="8">
        <v>2</v>
      </c>
    </row>
    <row r="5" spans="1:5">
      <c r="A5" s="7" t="s">
        <v>35</v>
      </c>
      <c r="B5" s="8" t="s">
        <v>36</v>
      </c>
      <c r="C5" s="8">
        <v>0</v>
      </c>
      <c r="D5" s="8">
        <v>0</v>
      </c>
      <c r="E5" s="8">
        <v>0</v>
      </c>
    </row>
    <row r="6" spans="1:5">
      <c r="A6" s="7" t="s">
        <v>35</v>
      </c>
      <c r="B6" s="8" t="s">
        <v>33</v>
      </c>
      <c r="C6" s="8">
        <v>14.5</v>
      </c>
      <c r="D6" s="8">
        <v>5.5</v>
      </c>
      <c r="E6" s="8">
        <v>2</v>
      </c>
    </row>
    <row r="7" spans="1:5">
      <c r="A7" s="7" t="s">
        <v>35</v>
      </c>
      <c r="B7" s="8" t="s">
        <v>37</v>
      </c>
      <c r="C7" s="8">
        <v>0</v>
      </c>
      <c r="D7" s="8">
        <v>0</v>
      </c>
      <c r="E7" s="8">
        <v>0</v>
      </c>
    </row>
    <row r="8" spans="1:5">
      <c r="A8" s="7" t="s">
        <v>35</v>
      </c>
      <c r="B8" s="8" t="s">
        <v>38</v>
      </c>
      <c r="C8" s="8">
        <v>0</v>
      </c>
      <c r="D8" s="8">
        <v>0</v>
      </c>
      <c r="E8" s="8">
        <v>0</v>
      </c>
    </row>
    <row r="9" spans="1:5">
      <c r="A9" s="7" t="s">
        <v>35</v>
      </c>
      <c r="B9" s="8" t="s">
        <v>39</v>
      </c>
      <c r="C9" s="8">
        <v>0</v>
      </c>
      <c r="D9" s="8">
        <v>0</v>
      </c>
      <c r="E9" s="8">
        <v>0</v>
      </c>
    </row>
    <row r="10" spans="1:5">
      <c r="A10" s="7" t="s">
        <v>35</v>
      </c>
      <c r="B10" s="8" t="s">
        <v>40</v>
      </c>
      <c r="C10" s="8">
        <v>14</v>
      </c>
      <c r="D10" s="8">
        <v>5.5</v>
      </c>
      <c r="E10" s="8">
        <v>2</v>
      </c>
    </row>
    <row r="11" spans="1:5">
      <c r="A11" s="7" t="s">
        <v>41</v>
      </c>
      <c r="B11" s="8" t="s">
        <v>42</v>
      </c>
      <c r="C11" s="8">
        <v>0</v>
      </c>
      <c r="D11" s="8">
        <v>0</v>
      </c>
      <c r="E11" s="8">
        <v>0</v>
      </c>
    </row>
    <row r="12" spans="1:5">
      <c r="A12" s="7" t="s">
        <v>41</v>
      </c>
      <c r="B12" s="8" t="s">
        <v>43</v>
      </c>
      <c r="C12" s="8">
        <v>0</v>
      </c>
      <c r="D12" s="8">
        <v>0</v>
      </c>
      <c r="E12" s="8">
        <v>0</v>
      </c>
    </row>
    <row r="13" spans="1:5">
      <c r="A13" s="7" t="s">
        <v>41</v>
      </c>
      <c r="B13" s="8" t="s">
        <v>44</v>
      </c>
      <c r="C13" s="8">
        <v>0</v>
      </c>
      <c r="D13" s="8">
        <v>0</v>
      </c>
      <c r="E13" s="8">
        <v>0</v>
      </c>
    </row>
    <row r="14" spans="1:5">
      <c r="A14" s="7" t="s">
        <v>41</v>
      </c>
      <c r="B14" s="8" t="s">
        <v>45</v>
      </c>
      <c r="C14" s="8">
        <v>0</v>
      </c>
      <c r="D14" s="8">
        <v>0</v>
      </c>
      <c r="E14" s="8">
        <v>0</v>
      </c>
    </row>
    <row r="15" spans="1:5">
      <c r="A15" s="10" t="s">
        <v>25</v>
      </c>
      <c r="B15" s="8" t="s">
        <v>46</v>
      </c>
      <c r="C15" s="11">
        <v>0</v>
      </c>
      <c r="D15" s="12">
        <v>0</v>
      </c>
      <c r="E15" s="10">
        <v>0</v>
      </c>
    </row>
  </sheetData>
  <dataValidations count="2">
    <dataValidation type="list" allowBlank="1" showInputMessage="1" showErrorMessage="1" sqref="A2:A15" xr:uid="{E2910900-9C30-4A18-9496-476E3FB8CC0C}">
      <formula1>"DSK Fish,Poissonnerie Bapte,Delta Transit"</formula1>
    </dataValidation>
    <dataValidation type="list" allowBlank="1" showInputMessage="1" showErrorMessage="1" sqref="B2:B15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defaultRowHeight="15"/>
  <cols>
    <col min="1" max="1" width="18.28515625" customWidth="1"/>
    <col min="2" max="2" width="74.42578125" customWidth="1"/>
  </cols>
  <sheetData>
    <row r="1" spans="1:4">
      <c r="A1" t="s">
        <v>47</v>
      </c>
      <c r="B1" t="s">
        <v>48</v>
      </c>
    </row>
    <row r="2" spans="1:4">
      <c r="A2" t="s">
        <v>25</v>
      </c>
      <c r="B2" t="s">
        <v>49</v>
      </c>
      <c r="D2" t="str">
        <f>IF(C2&lt;&gt;"",VLOOKUP(C2,Tableau3[#All],2,0),"")</f>
        <v/>
      </c>
    </row>
    <row r="3" spans="1:4">
      <c r="A3" t="s">
        <v>41</v>
      </c>
      <c r="B3" t="s">
        <v>50</v>
      </c>
    </row>
    <row r="4" spans="1:4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2026-04-17T14:58:38Z</dcterms:created>
  <dcterms:modified xsi:type="dcterms:W3CDTF">2026-04-24T13:54:03Z</dcterms:modified>
  <cp:category/>
  <cp:contentStatus/>
</cp:coreProperties>
</file>